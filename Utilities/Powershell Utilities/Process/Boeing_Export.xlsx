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killsinc.local\public\IS\DataTransfer\BOE Receivable\Process\"/>
    </mc:Choice>
  </mc:AlternateContent>
  <bookViews>
    <workbookView xWindow="0" yWindow="0" windowWidth="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3" i="1" l="1"/>
  <c r="C142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4" i="1"/>
  <c r="C103" i="1"/>
  <c r="C102" i="1"/>
  <c r="C100" i="1"/>
  <c r="C95" i="1"/>
  <c r="C92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<sst xmlns="http://schemas.openxmlformats.org/spreadsheetml/2006/main" count="303" uniqueCount="270">
  <si>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</si>
  <si>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</si>
  <si>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</si>
  <si>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</si>
  <si>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</si>
  <si>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</si>
  <si>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</si>
  <si>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</si>
  <si>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613-A46-003559927</t>
  </si>
  <si>
    <t>613-000633728</t>
  </si>
  <si>
    <t>613-A46-003559928</t>
  </si>
  <si>
    <t>613-000650995</t>
  </si>
  <si>
    <t>613-A46-003559929</t>
  </si>
  <si>
    <t>613-0C0007989</t>
  </si>
  <si>
    <t>648-A46-000240042</t>
  </si>
  <si>
    <t>648-000015162</t>
  </si>
  <si>
    <t>609-A46-001817608</t>
  </si>
  <si>
    <t>609-001040512</t>
  </si>
  <si>
    <t>633-A46-004404423</t>
  </si>
  <si>
    <t>633-001828586</t>
  </si>
  <si>
    <t>634-A46-000385645</t>
  </si>
  <si>
    <t>634-000192446</t>
  </si>
  <si>
    <t>605-A46-001692221</t>
  </si>
  <si>
    <t>605-000734017</t>
  </si>
  <si>
    <t>609-A46-001817699</t>
  </si>
  <si>
    <t>609-001037874</t>
  </si>
  <si>
    <t>609-A46-001817700</t>
  </si>
  <si>
    <t>609-001037893</t>
  </si>
  <si>
    <t>609-A46-001817701</t>
  </si>
  <si>
    <t>609-001040778</t>
  </si>
  <si>
    <t>613-A46-003560634</t>
  </si>
  <si>
    <t>613-000646658</t>
  </si>
  <si>
    <t>613-A46-003560635</t>
  </si>
  <si>
    <t>613-000649491</t>
  </si>
  <si>
    <t>613-A46-003560636</t>
  </si>
  <si>
    <t>613-0C0008006</t>
  </si>
  <si>
    <t>613-A46-003560637</t>
  </si>
  <si>
    <t>613-0X0007902</t>
  </si>
  <si>
    <t>618-A46-003840069</t>
  </si>
  <si>
    <t>618-000359543</t>
  </si>
  <si>
    <t>621-A46-005904823</t>
  </si>
  <si>
    <t>621-001350931</t>
  </si>
  <si>
    <t>621-A46-005904824</t>
  </si>
  <si>
    <t>621-0D0014120</t>
  </si>
  <si>
    <t>648-A46-000243212</t>
  </si>
  <si>
    <t>648-000015142</t>
  </si>
  <si>
    <t>605-A46-001692346</t>
  </si>
  <si>
    <t>613-A46-003560965</t>
  </si>
  <si>
    <t>613-000637699</t>
  </si>
  <si>
    <t>613-A46-003560966</t>
  </si>
  <si>
    <t>613-000640075</t>
  </si>
  <si>
    <t>613-A46-003560971</t>
  </si>
  <si>
    <t>613-000640076</t>
  </si>
  <si>
    <t>613-A46-003560967</t>
  </si>
  <si>
    <t>613-000640082</t>
  </si>
  <si>
    <t>613-A46-003560968</t>
  </si>
  <si>
    <t>613-000643611</t>
  </si>
  <si>
    <t>613-A46-003560969</t>
  </si>
  <si>
    <t>613-000647840</t>
  </si>
  <si>
    <t>613-A46-003560972</t>
  </si>
  <si>
    <t>613-000647841</t>
  </si>
  <si>
    <t>613-A46-003561744</t>
  </si>
  <si>
    <t>613-A46-003560970</t>
  </si>
  <si>
    <t>613-0P0012530</t>
  </si>
  <si>
    <t>621-A46-005905221</t>
  </si>
  <si>
    <t>621-001299087</t>
  </si>
  <si>
    <t>621-A46-005906188</t>
  </si>
  <si>
    <t>621-A46-005905217</t>
  </si>
  <si>
    <t>621-001354285</t>
  </si>
  <si>
    <t>621-A46-005905218</t>
  </si>
  <si>
    <t>621-001354289</t>
  </si>
  <si>
    <t>621-A46-005905220</t>
  </si>
  <si>
    <t>621-001354660</t>
  </si>
  <si>
    <t>621-A46-005905219</t>
  </si>
  <si>
    <t>623-A46-001853209</t>
  </si>
  <si>
    <t>623-0J0003793</t>
  </si>
  <si>
    <t>648-A46-000243824</t>
  </si>
  <si>
    <t>648-000024715</t>
  </si>
  <si>
    <t>600-A76-001248233</t>
  </si>
  <si>
    <t>NO PO INVOICE</t>
  </si>
  <si>
    <t>600-A76-001248227</t>
  </si>
  <si>
    <t>600-A76-001248232</t>
  </si>
  <si>
    <t>600-A76-001248234</t>
  </si>
  <si>
    <t>600-A76-001248231</t>
  </si>
  <si>
    <t>600-A76-001248230</t>
  </si>
  <si>
    <t>600-A76-001248228</t>
  </si>
  <si>
    <t>600-A76-001248229</t>
  </si>
  <si>
    <t>609-A46-001817791</t>
  </si>
  <si>
    <t>609-001037876</t>
  </si>
  <si>
    <t>609-A46-001817792</t>
  </si>
  <si>
    <t>609-001043177</t>
  </si>
  <si>
    <t>613-A46-003561309</t>
  </si>
  <si>
    <t>613-000640571</t>
  </si>
  <si>
    <t>613-A46-003561296</t>
  </si>
  <si>
    <t>613-000640990</t>
  </si>
  <si>
    <t>613-A46-003561297</t>
  </si>
  <si>
    <t>613-000641023</t>
  </si>
  <si>
    <t>613-A46-003561298</t>
  </si>
  <si>
    <t>613-000641049</t>
  </si>
  <si>
    <t>613-A46-003561299</t>
  </si>
  <si>
    <t>613-000642634</t>
  </si>
  <si>
    <t>613-A46-003561300</t>
  </si>
  <si>
    <t>613-000642922</t>
  </si>
  <si>
    <t>613-A46-003561301</t>
  </si>
  <si>
    <t>613-000642923</t>
  </si>
  <si>
    <t>613-A46-003561302</t>
  </si>
  <si>
    <t>613-000647506</t>
  </si>
  <si>
    <t>613-A46-003561303</t>
  </si>
  <si>
    <t>613-000647538</t>
  </si>
  <si>
    <t>613-A46-003561304</t>
  </si>
  <si>
    <t>613-000647556</t>
  </si>
  <si>
    <t>613-A46-003561305</t>
  </si>
  <si>
    <t>613-000647851</t>
  </si>
  <si>
    <t>613-A46-003561306</t>
  </si>
  <si>
    <t>613-000647853</t>
  </si>
  <si>
    <t>613-A46-003561307</t>
  </si>
  <si>
    <t>613-000647878</t>
  </si>
  <si>
    <t>613-A46-003561308</t>
  </si>
  <si>
    <t>613-000648171</t>
  </si>
  <si>
    <t>621-A46-005905699</t>
  </si>
  <si>
    <t>621-001301793</t>
  </si>
  <si>
    <t>621-A46-005905700</t>
  </si>
  <si>
    <t>621-0C0006524</t>
  </si>
  <si>
    <t>640-A46-000331403</t>
  </si>
  <si>
    <t>640-000155627</t>
  </si>
  <si>
    <t>647-A46-000247142</t>
  </si>
  <si>
    <t>647-000002748</t>
  </si>
  <si>
    <t>648-A46-000245119</t>
  </si>
  <si>
    <t>648-000024713</t>
  </si>
  <si>
    <t>648-A46-000245118</t>
  </si>
  <si>
    <t>648-000024717</t>
  </si>
  <si>
    <t>648-A46-000245120</t>
  </si>
  <si>
    <t>648-000024720</t>
  </si>
  <si>
    <t>648-A46-000245121</t>
  </si>
  <si>
    <t>648-000025692</t>
  </si>
  <si>
    <t>613-A46-003561506</t>
  </si>
  <si>
    <t>613-000615180</t>
  </si>
  <si>
    <t>613-A46-003561507</t>
  </si>
  <si>
    <t>613-000633732</t>
  </si>
  <si>
    <t>613-A46-003561508</t>
  </si>
  <si>
    <t>613-000640006</t>
  </si>
  <si>
    <t>613-A46-003561515</t>
  </si>
  <si>
    <t>613-000640031</t>
  </si>
  <si>
    <t>613-A46-003561517</t>
  </si>
  <si>
    <t>613-000640301</t>
  </si>
  <si>
    <t>613-A46-003561519</t>
  </si>
  <si>
    <t>613-000640993</t>
  </si>
  <si>
    <t>613-A46-003561509</t>
  </si>
  <si>
    <t>613-000641229</t>
  </si>
  <si>
    <t>613-A46-003561518</t>
  </si>
  <si>
    <t>613-000650940</t>
  </si>
  <si>
    <t>613-A46-003561511</t>
  </si>
  <si>
    <t>613-000652129</t>
  </si>
  <si>
    <t>613-A46-003561512</t>
  </si>
  <si>
    <t>613-000652138</t>
  </si>
  <si>
    <t>621-A46-005905996</t>
  </si>
  <si>
    <t>621-0C0006490</t>
  </si>
  <si>
    <t>621-A46-005905995</t>
  </si>
  <si>
    <t>621-0C0006515</t>
  </si>
  <si>
    <t>623-A46-001853271</t>
  </si>
  <si>
    <t>623-000107965</t>
  </si>
  <si>
    <t>623-A46-001853272</t>
  </si>
  <si>
    <t>623-000108253</t>
  </si>
  <si>
    <t>629-A46-001153314</t>
  </si>
  <si>
    <t>629-LN0025200</t>
  </si>
  <si>
    <t>648-A46-000245744</t>
  </si>
  <si>
    <t>648-000024693</t>
  </si>
  <si>
    <t>648-A46-000245745</t>
  </si>
  <si>
    <t>648-000024704</t>
  </si>
  <si>
    <t>648-A46-000245746</t>
  </si>
  <si>
    <t>648-000024712</t>
  </si>
  <si>
    <t>648-A46-000245747</t>
  </si>
  <si>
    <t>648-A46-000245748</t>
  </si>
  <si>
    <t>602-A46-002264155</t>
  </si>
  <si>
    <t>602-0L0024567</t>
  </si>
  <si>
    <t>604-A46-002194762</t>
  </si>
  <si>
    <t>604-0A0000444</t>
  </si>
  <si>
    <t>605-A46-001693093</t>
  </si>
  <si>
    <t>605-000741982</t>
  </si>
  <si>
    <t>605-A46-001693123</t>
  </si>
  <si>
    <t>607-A46-004029018</t>
  </si>
  <si>
    <t>607-000653333</t>
  </si>
  <si>
    <t>609-A46-001818347</t>
  </si>
  <si>
    <t>609-001045807</t>
  </si>
  <si>
    <t>609-A46-001818545</t>
  </si>
  <si>
    <t>609-001045809</t>
  </si>
  <si>
    <t>609-A46-001818219</t>
  </si>
  <si>
    <t>609-001045815</t>
  </si>
  <si>
    <t>609-A46-001818349</t>
  </si>
  <si>
    <t>613-A46-003562821</t>
  </si>
  <si>
    <t>613-0C0008028</t>
  </si>
  <si>
    <t>614-A46-015773253</t>
  </si>
  <si>
    <t>614-000893220</t>
  </si>
  <si>
    <t>621-A46-005907264</t>
  </si>
  <si>
    <t>621-A46-005907266</t>
  </si>
  <si>
    <t>621-0C0008250</t>
  </si>
  <si>
    <t>621-A46-005907265</t>
  </si>
  <si>
    <t>621-0C0008573</t>
  </si>
  <si>
    <t>624-A46-000030519</t>
  </si>
  <si>
    <t>624-000011375</t>
  </si>
  <si>
    <t>624-A46-000030514</t>
  </si>
  <si>
    <t>613-A46-003562377</t>
  </si>
  <si>
    <t>613-000610107</t>
  </si>
  <si>
    <t>613-A46-003562378</t>
  </si>
  <si>
    <t>613-A46-003562387</t>
  </si>
  <si>
    <t>613-0C0005649</t>
  </si>
  <si>
    <t>613-A46-003562379</t>
  </si>
  <si>
    <t>613-A46-003562381</t>
  </si>
  <si>
    <t>613-A46-003562382</t>
  </si>
  <si>
    <t>621-A46-005906725</t>
  </si>
  <si>
    <t>623-A46-001853403</t>
  </si>
  <si>
    <t>623-000101186</t>
  </si>
  <si>
    <t>640-A46-000331677</t>
  </si>
  <si>
    <t>640-000156182</t>
  </si>
  <si>
    <t>648-A46-000247103</t>
  </si>
  <si>
    <t>648-000015171</t>
  </si>
  <si>
    <t>600-A76-001248235</t>
  </si>
  <si>
    <t>600-A76-001248236</t>
  </si>
  <si>
    <t>613-A46-003562822</t>
  </si>
  <si>
    <t>613-000639969</t>
  </si>
  <si>
    <t>613-A46-003562823</t>
  </si>
  <si>
    <t>613-000639978</t>
  </si>
  <si>
    <t>613-A46-003562824</t>
  </si>
  <si>
    <t>613-000639980</t>
  </si>
  <si>
    <t>613-A46-003562825</t>
  </si>
  <si>
    <t>613-000640048</t>
  </si>
  <si>
    <t>613-A46-003562826</t>
  </si>
  <si>
    <t>613-000640052</t>
  </si>
  <si>
    <t>613-A46-003562827</t>
  </si>
  <si>
    <t>613-000640060</t>
  </si>
  <si>
    <t>613-A46-003562828</t>
  </si>
  <si>
    <t>613-000640061</t>
  </si>
  <si>
    <t>613-A46-003562829</t>
  </si>
  <si>
    <t>613-000640065</t>
  </si>
  <si>
    <t>613-A46-003562830</t>
  </si>
  <si>
    <t>613-000640066</t>
  </si>
  <si>
    <t>613-A46-003562831</t>
  </si>
  <si>
    <t>613-000640070</t>
  </si>
  <si>
    <t>613-A46-003562832</t>
  </si>
  <si>
    <t>613-000640077</t>
  </si>
  <si>
    <t>613-A46-003562833</t>
  </si>
  <si>
    <t>613-000640078</t>
  </si>
  <si>
    <t>613-A46-003562834</t>
  </si>
  <si>
    <t>613-000640084</t>
  </si>
  <si>
    <t>613-A46-003562835</t>
  </si>
  <si>
    <t>613-000640086</t>
  </si>
  <si>
    <t>613-A46-003562836</t>
  </si>
  <si>
    <t>613-000640546</t>
  </si>
  <si>
    <t>600-A76-001248237</t>
  </si>
  <si>
    <t>600-A76-001248240</t>
  </si>
  <si>
    <t>600-A76-001248242</t>
  </si>
  <si>
    <t>600-A76-001248241</t>
  </si>
  <si>
    <t>600-A76-001248243</t>
  </si>
  <si>
    <t>600-A76-001248238</t>
  </si>
  <si>
    <t>600-A76-001248239</t>
  </si>
  <si>
    <t>607-A46-004030698</t>
  </si>
  <si>
    <t>607-0X0002120</t>
  </si>
  <si>
    <t>613-A46-003568807</t>
  </si>
  <si>
    <t>613-0J0016381</t>
  </si>
  <si>
    <t>621-A46-005914497</t>
  </si>
  <si>
    <t>621-0N0067646</t>
  </si>
  <si>
    <t>="250531BOE602"</t>
  </si>
  <si>
    <t>="250531BOE605"</t>
  </si>
  <si>
    <t>="250531AX"</t>
  </si>
  <si>
    <t>="250531MA"</t>
  </si>
  <si>
    <t>="250531M"</t>
  </si>
  <si>
    <t>="250531MOT"</t>
  </si>
  <si>
    <t>="250531BOLTBOARDS"</t>
  </si>
  <si>
    <t>="250531BOE624"</t>
  </si>
  <si>
    <t>="250531BOE607"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</si>
</sst>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vertical="top"/>
    </xf>
    <xf numFmtId="49" fontId="2" fillId="0" borderId="0" xfId="0" applyNumberFormat="1" applyFont="1" applyFill="1" applyAlignment="1"/>
    <xf numFmtId="14" fontId="2" fillId="0" borderId="0" xfId="0" applyNumberFormat="1" applyFont="1" applyFill="1" applyAlignment="1"/>
    <xf numFmtId="4" fontId="2" fillId="0" borderId="0" xfId="0" applyNumberFormat="1" applyFont="1" applyFill="1" applyAlignment="1"/>
    <xf numFmtId="0" fontId="2" fillId="0" borderId="0" xfId="0" applyFont="1" applyFill="1" applyAlignment="1"/>
    <xf numFmtId="49" fontId="1" fillId="0" borderId="0" xfId="0" applyNumberFormat="1" applyFont="1" applyFill="1" applyAlignment="1">
      <alignment vertical="top"/>
    </xf>
    <xf numFmtId="49" fontId="2" fillId="0" borderId="0" xfId="0" quotePrefix="1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workbookViewId="0">
      <selection sqref="A1:H143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7" width="17" bestFit="1" customWidth="1"/>
    <col min="8" max="8" width="13.710937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tr">
        <f>"1460110"</f>
        <v>1460110</v>
      </c>
      <c r="D2" s="3">
        <v>45801</v>
      </c>
      <c r="E2" s="4">
        <v>315.68</v>
      </c>
      <c r="F2" s="4">
        <v>0</v>
      </c>
      <c r="G2" s="4">
        <v>315.68</v>
      </c>
      <c r="H2" s="5"/>
    </row>
    <row r="3" spans="1:8" x14ac:dyDescent="0.25">
      <c r="A3" s="2" t="s">
        <v>10</v>
      </c>
      <c r="B3" s="2" t="s">
        <v>11</v>
      </c>
      <c r="C3" s="2" t="str">
        <f>"1460111"</f>
        <v>1460111</v>
      </c>
      <c r="D3" s="3">
        <v>45801</v>
      </c>
      <c r="E3" s="4">
        <v>799.2</v>
      </c>
      <c r="F3" s="4">
        <v>0</v>
      </c>
      <c r="G3" s="4">
        <v>799.2</v>
      </c>
      <c r="H3" s="5"/>
    </row>
    <row r="4" spans="1:8" x14ac:dyDescent="0.25">
      <c r="A4" s="2" t="s">
        <v>12</v>
      </c>
      <c r="B4" s="2" t="s">
        <v>13</v>
      </c>
      <c r="C4" s="2" t="str">
        <f>"1460112"</f>
        <v>1460112</v>
      </c>
      <c r="D4" s="3">
        <v>45801</v>
      </c>
      <c r="E4" s="4">
        <v>734.4</v>
      </c>
      <c r="F4" s="4">
        <v>0</v>
      </c>
      <c r="G4" s="4">
        <v>734.4</v>
      </c>
      <c r="H4" s="5"/>
    </row>
    <row r="5" spans="1:8" x14ac:dyDescent="0.25">
      <c r="A5" s="2" t="s">
        <v>14</v>
      </c>
      <c r="B5" s="2" t="s">
        <v>15</v>
      </c>
      <c r="C5" s="2" t="str">
        <f>"1460115"</f>
        <v>1460115</v>
      </c>
      <c r="D5" s="3">
        <v>45801</v>
      </c>
      <c r="E5" s="4">
        <v>536.54999999999995</v>
      </c>
      <c r="F5" s="4">
        <v>0</v>
      </c>
      <c r="G5" s="4">
        <v>536.54999999999995</v>
      </c>
      <c r="H5" s="5"/>
    </row>
    <row r="6" spans="1:8" x14ac:dyDescent="0.25">
      <c r="A6" s="2" t="s">
        <v>16</v>
      </c>
      <c r="B6" s="2" t="s">
        <v>17</v>
      </c>
      <c r="C6" s="2" t="str">
        <f>"1460107"</f>
        <v>1460107</v>
      </c>
      <c r="D6" s="3">
        <v>45804</v>
      </c>
      <c r="E6" s="4">
        <v>791.22</v>
      </c>
      <c r="F6" s="4">
        <v>0</v>
      </c>
      <c r="G6" s="4">
        <v>791.22</v>
      </c>
      <c r="H6" s="5"/>
    </row>
    <row r="7" spans="1:8" x14ac:dyDescent="0.25">
      <c r="A7" s="2" t="s">
        <v>18</v>
      </c>
      <c r="B7" s="2" t="s">
        <v>19</v>
      </c>
      <c r="C7" s="2" t="str">
        <f>"1460186"</f>
        <v>1460186</v>
      </c>
      <c r="D7" s="3">
        <v>45804</v>
      </c>
      <c r="E7" s="4">
        <v>7152</v>
      </c>
      <c r="F7" s="4">
        <v>0</v>
      </c>
      <c r="G7" s="4">
        <v>7152</v>
      </c>
      <c r="H7" s="5"/>
    </row>
    <row r="8" spans="1:8" x14ac:dyDescent="0.25">
      <c r="A8" s="2" t="s">
        <v>20</v>
      </c>
      <c r="B8" s="2" t="s">
        <v>21</v>
      </c>
      <c r="C8" s="2" t="str">
        <f>"1459618"</f>
        <v>1459618</v>
      </c>
      <c r="D8" s="3">
        <v>45804</v>
      </c>
      <c r="E8" s="4">
        <v>583.88</v>
      </c>
      <c r="F8" s="4">
        <v>0</v>
      </c>
      <c r="G8" s="4">
        <v>583.88</v>
      </c>
      <c r="H8" s="5"/>
    </row>
    <row r="9" spans="1:8" x14ac:dyDescent="0.25">
      <c r="A9" s="2" t="s">
        <v>22</v>
      </c>
      <c r="B9" s="2" t="s">
        <v>23</v>
      </c>
      <c r="C9" s="2" t="str">
        <f>"1460170"</f>
        <v>1460170</v>
      </c>
      <c r="D9" s="3">
        <v>45805</v>
      </c>
      <c r="E9" s="4">
        <v>9973.76</v>
      </c>
      <c r="F9" s="4">
        <v>0</v>
      </c>
      <c r="G9" s="4">
        <v>9973.76</v>
      </c>
      <c r="H9" s="5"/>
    </row>
    <row r="10" spans="1:8" x14ac:dyDescent="0.25">
      <c r="A10" s="2" t="s">
        <v>24</v>
      </c>
      <c r="B10" s="2" t="s">
        <v>25</v>
      </c>
      <c r="C10" s="2" t="str">
        <f>"1460172"</f>
        <v>1460172</v>
      </c>
      <c r="D10" s="3">
        <v>45805</v>
      </c>
      <c r="E10" s="4">
        <v>129.72</v>
      </c>
      <c r="F10" s="4">
        <v>0</v>
      </c>
      <c r="G10" s="4">
        <v>129.72</v>
      </c>
      <c r="H10" s="5"/>
    </row>
    <row r="11" spans="1:8" x14ac:dyDescent="0.25">
      <c r="A11" s="2" t="s">
        <v>26</v>
      </c>
      <c r="B11" s="2" t="s">
        <v>27</v>
      </c>
      <c r="C11" s="2" t="str">
        <f>"1460173"</f>
        <v>1460173</v>
      </c>
      <c r="D11" s="3">
        <v>45805</v>
      </c>
      <c r="E11" s="4">
        <v>370.5</v>
      </c>
      <c r="F11" s="4">
        <v>0</v>
      </c>
      <c r="G11" s="4">
        <v>370.5</v>
      </c>
      <c r="H11" s="5"/>
    </row>
    <row r="12" spans="1:8" x14ac:dyDescent="0.25">
      <c r="A12" s="2" t="s">
        <v>28</v>
      </c>
      <c r="B12" s="2" t="s">
        <v>29</v>
      </c>
      <c r="C12" s="2" t="str">
        <f>"1460174"</f>
        <v>1460174</v>
      </c>
      <c r="D12" s="3">
        <v>45805</v>
      </c>
      <c r="E12" s="4">
        <v>845.01</v>
      </c>
      <c r="F12" s="4">
        <v>0</v>
      </c>
      <c r="G12" s="4">
        <v>845.01</v>
      </c>
      <c r="H12" s="5"/>
    </row>
    <row r="13" spans="1:8" x14ac:dyDescent="0.25">
      <c r="A13" s="2" t="s">
        <v>30</v>
      </c>
      <c r="B13" s="2" t="s">
        <v>31</v>
      </c>
      <c r="C13" s="2" t="str">
        <f>"1460176"</f>
        <v>1460176</v>
      </c>
      <c r="D13" s="3">
        <v>45805</v>
      </c>
      <c r="E13" s="4">
        <v>556.9</v>
      </c>
      <c r="F13" s="4">
        <v>0</v>
      </c>
      <c r="G13" s="4">
        <v>556.9</v>
      </c>
      <c r="H13" s="5"/>
    </row>
    <row r="14" spans="1:8" x14ac:dyDescent="0.25">
      <c r="A14" s="2" t="s">
        <v>32</v>
      </c>
      <c r="B14" s="2" t="s">
        <v>33</v>
      </c>
      <c r="C14" s="2" t="str">
        <f>"1460177"</f>
        <v>1460177</v>
      </c>
      <c r="D14" s="3">
        <v>45805</v>
      </c>
      <c r="E14" s="4">
        <v>953.02</v>
      </c>
      <c r="F14" s="4">
        <v>0</v>
      </c>
      <c r="G14" s="4">
        <v>953.02</v>
      </c>
      <c r="H14" s="5"/>
    </row>
    <row r="15" spans="1:8" x14ac:dyDescent="0.25">
      <c r="A15" s="2" t="s">
        <v>34</v>
      </c>
      <c r="B15" s="2" t="s">
        <v>35</v>
      </c>
      <c r="C15" s="2" t="str">
        <f>"1460178"</f>
        <v>1460178</v>
      </c>
      <c r="D15" s="3">
        <v>45805</v>
      </c>
      <c r="E15" s="4">
        <v>1293.45</v>
      </c>
      <c r="F15" s="4">
        <v>0</v>
      </c>
      <c r="G15" s="4">
        <v>1293.45</v>
      </c>
      <c r="H15" s="5"/>
    </row>
    <row r="16" spans="1:8" x14ac:dyDescent="0.25">
      <c r="A16" s="2" t="s">
        <v>36</v>
      </c>
      <c r="B16" s="2" t="s">
        <v>37</v>
      </c>
      <c r="C16" s="2" t="str">
        <f>"1460180"</f>
        <v>1460180</v>
      </c>
      <c r="D16" s="3">
        <v>45805</v>
      </c>
      <c r="E16" s="4">
        <v>918.2</v>
      </c>
      <c r="F16" s="4">
        <v>0</v>
      </c>
      <c r="G16" s="4">
        <v>918.2</v>
      </c>
      <c r="H16" s="5"/>
    </row>
    <row r="17" spans="1:8" x14ac:dyDescent="0.25">
      <c r="A17" s="2" t="s">
        <v>38</v>
      </c>
      <c r="B17" s="2" t="s">
        <v>39</v>
      </c>
      <c r="C17" s="2" t="str">
        <f>"1460181"</f>
        <v>1460181</v>
      </c>
      <c r="D17" s="3">
        <v>45805</v>
      </c>
      <c r="E17" s="4">
        <v>377.23</v>
      </c>
      <c r="F17" s="4">
        <v>0</v>
      </c>
      <c r="G17" s="4">
        <v>377.23</v>
      </c>
      <c r="H17" s="5"/>
    </row>
    <row r="18" spans="1:8" x14ac:dyDescent="0.25">
      <c r="A18" s="2" t="s">
        <v>40</v>
      </c>
      <c r="B18" s="2" t="s">
        <v>41</v>
      </c>
      <c r="C18" s="2" t="str">
        <f>"1460182"</f>
        <v>1460182</v>
      </c>
      <c r="D18" s="3">
        <v>45805</v>
      </c>
      <c r="E18" s="4">
        <v>2350.7399999999998</v>
      </c>
      <c r="F18" s="4">
        <v>0</v>
      </c>
      <c r="G18" s="4">
        <v>2350.7399999999998</v>
      </c>
      <c r="H18" s="5"/>
    </row>
    <row r="19" spans="1:8" x14ac:dyDescent="0.25">
      <c r="A19" s="2" t="s">
        <v>42</v>
      </c>
      <c r="B19" s="2" t="s">
        <v>43</v>
      </c>
      <c r="C19" s="2" t="str">
        <f>"1460184"</f>
        <v>1460184</v>
      </c>
      <c r="D19" s="3">
        <v>45805</v>
      </c>
      <c r="E19" s="4">
        <v>6390.5</v>
      </c>
      <c r="F19" s="4">
        <v>0</v>
      </c>
      <c r="G19" s="4">
        <v>6390.5</v>
      </c>
      <c r="H19" s="5"/>
    </row>
    <row r="20" spans="1:8" x14ac:dyDescent="0.25">
      <c r="A20" s="2" t="s">
        <v>44</v>
      </c>
      <c r="B20" s="2" t="s">
        <v>45</v>
      </c>
      <c r="C20" s="2" t="str">
        <f>"1460192"</f>
        <v>1460192</v>
      </c>
      <c r="D20" s="3">
        <v>45805</v>
      </c>
      <c r="E20" s="4">
        <v>3603.6</v>
      </c>
      <c r="F20" s="4">
        <v>0</v>
      </c>
      <c r="G20" s="4">
        <v>3603.6</v>
      </c>
      <c r="H20" s="5"/>
    </row>
    <row r="21" spans="1:8" x14ac:dyDescent="0.25">
      <c r="A21" s="2" t="s">
        <v>46</v>
      </c>
      <c r="B21" s="2" t="s">
        <v>23</v>
      </c>
      <c r="C21" s="2" t="str">
        <f>"1443328"</f>
        <v>1443328</v>
      </c>
      <c r="D21" s="3">
        <v>45806</v>
      </c>
      <c r="E21" s="4">
        <v>750</v>
      </c>
      <c r="F21" s="4">
        <v>0</v>
      </c>
      <c r="G21" s="4">
        <v>750</v>
      </c>
      <c r="H21" s="5"/>
    </row>
    <row r="22" spans="1:8" x14ac:dyDescent="0.25">
      <c r="A22" s="2" t="s">
        <v>47</v>
      </c>
      <c r="B22" s="2" t="s">
        <v>48</v>
      </c>
      <c r="C22" s="2" t="str">
        <f>"1460335"</f>
        <v>1460335</v>
      </c>
      <c r="D22" s="3">
        <v>45806</v>
      </c>
      <c r="E22" s="4">
        <v>6212</v>
      </c>
      <c r="F22" s="4">
        <v>0</v>
      </c>
      <c r="G22" s="4">
        <v>6212</v>
      </c>
      <c r="H22" s="5"/>
    </row>
    <row r="23" spans="1:8" x14ac:dyDescent="0.25">
      <c r="A23" s="2" t="s">
        <v>49</v>
      </c>
      <c r="B23" s="2" t="s">
        <v>50</v>
      </c>
      <c r="C23" s="2" t="str">
        <f>"1460336"</f>
        <v>1460336</v>
      </c>
      <c r="D23" s="3">
        <v>45806</v>
      </c>
      <c r="E23" s="4">
        <v>389.1</v>
      </c>
      <c r="F23" s="4">
        <v>0</v>
      </c>
      <c r="G23" s="4">
        <v>389.1</v>
      </c>
      <c r="H23" s="5"/>
    </row>
    <row r="24" spans="1:8" x14ac:dyDescent="0.25">
      <c r="A24" s="2" t="s">
        <v>51</v>
      </c>
      <c r="B24" s="2" t="s">
        <v>52</v>
      </c>
      <c r="C24" s="2" t="str">
        <f>"1460405"</f>
        <v>1460405</v>
      </c>
      <c r="D24" s="3">
        <v>45806</v>
      </c>
      <c r="E24" s="4">
        <v>466.92</v>
      </c>
      <c r="F24" s="4">
        <v>0</v>
      </c>
      <c r="G24" s="4">
        <v>466.92</v>
      </c>
      <c r="H24" s="5"/>
    </row>
    <row r="25" spans="1:8" x14ac:dyDescent="0.25">
      <c r="A25" s="2" t="s">
        <v>53</v>
      </c>
      <c r="B25" s="2" t="s">
        <v>54</v>
      </c>
      <c r="C25" s="2" t="str">
        <f>"1460337"</f>
        <v>1460337</v>
      </c>
      <c r="D25" s="3">
        <v>45806</v>
      </c>
      <c r="E25" s="4">
        <v>382.98</v>
      </c>
      <c r="F25" s="4">
        <v>0</v>
      </c>
      <c r="G25" s="4">
        <v>382.98</v>
      </c>
      <c r="H25" s="5"/>
    </row>
    <row r="26" spans="1:8" x14ac:dyDescent="0.25">
      <c r="A26" s="2" t="s">
        <v>55</v>
      </c>
      <c r="B26" s="2" t="s">
        <v>56</v>
      </c>
      <c r="C26" s="2" t="str">
        <f>"1460338"</f>
        <v>1460338</v>
      </c>
      <c r="D26" s="3">
        <v>45806</v>
      </c>
      <c r="E26" s="4">
        <v>113.1</v>
      </c>
      <c r="F26" s="4">
        <v>0</v>
      </c>
      <c r="G26" s="4">
        <v>113.1</v>
      </c>
      <c r="H26" s="5"/>
    </row>
    <row r="27" spans="1:8" x14ac:dyDescent="0.25">
      <c r="A27" s="2" t="s">
        <v>57</v>
      </c>
      <c r="B27" s="2" t="s">
        <v>58</v>
      </c>
      <c r="C27" s="2" t="str">
        <f>"1460339"</f>
        <v>1460339</v>
      </c>
      <c r="D27" s="3">
        <v>45806</v>
      </c>
      <c r="E27" s="4">
        <v>336.16</v>
      </c>
      <c r="F27" s="4">
        <v>0</v>
      </c>
      <c r="G27" s="4">
        <v>336.16</v>
      </c>
      <c r="H27" s="5"/>
    </row>
    <row r="28" spans="1:8" x14ac:dyDescent="0.25">
      <c r="A28" s="2" t="s">
        <v>59</v>
      </c>
      <c r="B28" s="2" t="s">
        <v>60</v>
      </c>
      <c r="C28" s="2" t="str">
        <f>"1460420"</f>
        <v>1460420</v>
      </c>
      <c r="D28" s="3">
        <v>45806</v>
      </c>
      <c r="E28" s="4">
        <v>330.5</v>
      </c>
      <c r="F28" s="4">
        <v>0</v>
      </c>
      <c r="G28" s="4">
        <v>330.5</v>
      </c>
      <c r="H28" s="5"/>
    </row>
    <row r="29" spans="1:8" x14ac:dyDescent="0.25">
      <c r="A29" s="2" t="s">
        <v>61</v>
      </c>
      <c r="B29" s="2" t="s">
        <v>35</v>
      </c>
      <c r="C29" s="2" t="str">
        <f>"1443336"</f>
        <v>1443336</v>
      </c>
      <c r="D29" s="3">
        <v>45806</v>
      </c>
      <c r="E29" s="4">
        <v>1250</v>
      </c>
      <c r="F29" s="4">
        <v>0</v>
      </c>
      <c r="G29" s="4">
        <v>1250</v>
      </c>
      <c r="H29" s="5"/>
    </row>
    <row r="30" spans="1:8" x14ac:dyDescent="0.25">
      <c r="A30" s="2" t="s">
        <v>62</v>
      </c>
      <c r="B30" s="2" t="s">
        <v>63</v>
      </c>
      <c r="C30" s="2" t="str">
        <f>"1460340"</f>
        <v>1460340</v>
      </c>
      <c r="D30" s="3">
        <v>45806</v>
      </c>
      <c r="E30" s="4">
        <v>411.68</v>
      </c>
      <c r="F30" s="4">
        <v>0</v>
      </c>
      <c r="G30" s="4">
        <v>411.68</v>
      </c>
      <c r="H30" s="5"/>
    </row>
    <row r="31" spans="1:8" x14ac:dyDescent="0.25">
      <c r="A31" s="2" t="s">
        <v>64</v>
      </c>
      <c r="B31" s="2" t="s">
        <v>65</v>
      </c>
      <c r="C31" s="2" t="str">
        <f>"1460406"</f>
        <v>1460406</v>
      </c>
      <c r="D31" s="3">
        <v>45806</v>
      </c>
      <c r="E31" s="4">
        <v>2650.96</v>
      </c>
      <c r="F31" s="4">
        <v>0</v>
      </c>
      <c r="G31" s="4">
        <v>2650.96</v>
      </c>
      <c r="H31" s="5"/>
    </row>
    <row r="32" spans="1:8" x14ac:dyDescent="0.25">
      <c r="A32" s="2" t="s">
        <v>66</v>
      </c>
      <c r="B32" s="2" t="s">
        <v>41</v>
      </c>
      <c r="C32" s="2" t="str">
        <f>"1443340"</f>
        <v>1443340</v>
      </c>
      <c r="D32" s="3">
        <v>45806</v>
      </c>
      <c r="E32" s="4">
        <v>1000</v>
      </c>
      <c r="F32" s="4">
        <v>0</v>
      </c>
      <c r="G32" s="4">
        <v>1000</v>
      </c>
      <c r="H32" s="5"/>
    </row>
    <row r="33" spans="1:8" x14ac:dyDescent="0.25">
      <c r="A33" s="2" t="s">
        <v>67</v>
      </c>
      <c r="B33" s="2" t="s">
        <v>68</v>
      </c>
      <c r="C33" s="2" t="str">
        <f>"1460341"</f>
        <v>1460341</v>
      </c>
      <c r="D33" s="3">
        <v>45806</v>
      </c>
      <c r="E33" s="4">
        <v>2162.2800000000002</v>
      </c>
      <c r="F33" s="4">
        <v>0</v>
      </c>
      <c r="G33" s="4">
        <v>2162.2800000000002</v>
      </c>
      <c r="H33" s="5"/>
    </row>
    <row r="34" spans="1:8" x14ac:dyDescent="0.25">
      <c r="A34" s="2" t="s">
        <v>69</v>
      </c>
      <c r="B34" s="2" t="s">
        <v>70</v>
      </c>
      <c r="C34" s="2" t="str">
        <f>"1460342"</f>
        <v>1460342</v>
      </c>
      <c r="D34" s="3">
        <v>45806</v>
      </c>
      <c r="E34" s="4">
        <v>1772.36</v>
      </c>
      <c r="F34" s="4">
        <v>0</v>
      </c>
      <c r="G34" s="4">
        <v>1772.36</v>
      </c>
      <c r="H34" s="5"/>
    </row>
    <row r="35" spans="1:8" x14ac:dyDescent="0.25">
      <c r="A35" s="2" t="s">
        <v>71</v>
      </c>
      <c r="B35" s="2" t="s">
        <v>72</v>
      </c>
      <c r="C35" s="2" t="str">
        <f>"1460344"</f>
        <v>1460344</v>
      </c>
      <c r="D35" s="3">
        <v>45806</v>
      </c>
      <c r="E35" s="4">
        <v>1493.76</v>
      </c>
      <c r="F35" s="4">
        <v>0</v>
      </c>
      <c r="G35" s="4">
        <v>1493.76</v>
      </c>
      <c r="H35" s="5"/>
    </row>
    <row r="36" spans="1:8" x14ac:dyDescent="0.25">
      <c r="A36" s="2" t="s">
        <v>73</v>
      </c>
      <c r="B36" s="2" t="s">
        <v>72</v>
      </c>
      <c r="C36" s="2" t="str">
        <f>"1460343"</f>
        <v>1460343</v>
      </c>
      <c r="D36" s="3">
        <v>45806</v>
      </c>
      <c r="E36" s="4">
        <v>1991.68</v>
      </c>
      <c r="F36" s="4">
        <v>0</v>
      </c>
      <c r="G36" s="4">
        <v>1991.68</v>
      </c>
      <c r="H36" s="5"/>
    </row>
    <row r="37" spans="1:8" x14ac:dyDescent="0.25">
      <c r="A37" s="2" t="s">
        <v>74</v>
      </c>
      <c r="B37" s="2" t="s">
        <v>75</v>
      </c>
      <c r="C37" s="2" t="str">
        <f>"1460185"</f>
        <v>1460185</v>
      </c>
      <c r="D37" s="3">
        <v>45806</v>
      </c>
      <c r="E37" s="4">
        <v>252.45</v>
      </c>
      <c r="F37" s="4">
        <v>0</v>
      </c>
      <c r="G37" s="4">
        <v>252.45</v>
      </c>
      <c r="H37" s="5"/>
    </row>
    <row r="38" spans="1:8" x14ac:dyDescent="0.25">
      <c r="A38" s="2" t="s">
        <v>76</v>
      </c>
      <c r="B38" s="2" t="s">
        <v>77</v>
      </c>
      <c r="C38" s="2" t="str">
        <f>"1460383"</f>
        <v>1460383</v>
      </c>
      <c r="D38" s="3">
        <v>45806</v>
      </c>
      <c r="E38" s="4">
        <v>9518.4699999999993</v>
      </c>
      <c r="F38" s="4">
        <v>0</v>
      </c>
      <c r="G38" s="4">
        <v>9518.4699999999993</v>
      </c>
      <c r="H38" s="5"/>
    </row>
    <row r="39" spans="1:8" x14ac:dyDescent="0.25">
      <c r="A39" s="2" t="s">
        <v>78</v>
      </c>
      <c r="B39" s="2" t="s">
        <v>79</v>
      </c>
      <c r="C39" s="2" t="str">
        <f>"3290574400"</f>
        <v>3290574400</v>
      </c>
      <c r="D39" s="3">
        <v>45806</v>
      </c>
      <c r="E39" s="4">
        <v>-1311.16</v>
      </c>
      <c r="F39" s="4">
        <v>0</v>
      </c>
      <c r="G39" s="4">
        <v>-1311.16</v>
      </c>
      <c r="H39" s="5"/>
    </row>
    <row r="40" spans="1:8" x14ac:dyDescent="0.25">
      <c r="A40" s="2" t="s">
        <v>80</v>
      </c>
      <c r="B40" s="2" t="s">
        <v>79</v>
      </c>
      <c r="C40" s="2" t="str">
        <f>"3289500100"</f>
        <v>3289500100</v>
      </c>
      <c r="D40" s="3">
        <v>45806</v>
      </c>
      <c r="E40" s="4">
        <v>-169</v>
      </c>
      <c r="F40" s="4">
        <v>0</v>
      </c>
      <c r="G40" s="4">
        <v>-169</v>
      </c>
      <c r="H40" s="5"/>
    </row>
    <row r="41" spans="1:8" x14ac:dyDescent="0.25">
      <c r="A41" s="2" t="s">
        <v>81</v>
      </c>
      <c r="B41" s="2" t="s">
        <v>79</v>
      </c>
      <c r="C41" s="2" t="str">
        <f>"3290574300"</f>
        <v>3290574300</v>
      </c>
      <c r="D41" s="3">
        <v>45806</v>
      </c>
      <c r="E41" s="4">
        <v>-142.35</v>
      </c>
      <c r="F41" s="4">
        <v>0</v>
      </c>
      <c r="G41" s="4">
        <v>-142.35</v>
      </c>
      <c r="H41" s="5"/>
    </row>
    <row r="42" spans="1:8" x14ac:dyDescent="0.25">
      <c r="A42" s="2" t="s">
        <v>82</v>
      </c>
      <c r="B42" s="2" t="s">
        <v>79</v>
      </c>
      <c r="C42" s="2" t="str">
        <f>"3290574500"</f>
        <v>3290574500</v>
      </c>
      <c r="D42" s="3">
        <v>45806</v>
      </c>
      <c r="E42" s="4">
        <v>-204</v>
      </c>
      <c r="F42" s="4">
        <v>0</v>
      </c>
      <c r="G42" s="4">
        <v>-204</v>
      </c>
      <c r="H42" s="5"/>
    </row>
    <row r="43" spans="1:8" x14ac:dyDescent="0.25">
      <c r="A43" s="2" t="s">
        <v>83</v>
      </c>
      <c r="B43" s="2" t="s">
        <v>79</v>
      </c>
      <c r="C43" s="2" t="str">
        <f>"3290574200"</f>
        <v>3290574200</v>
      </c>
      <c r="D43" s="3">
        <v>45806</v>
      </c>
      <c r="E43" s="4">
        <v>-248.75</v>
      </c>
      <c r="F43" s="4">
        <v>0</v>
      </c>
      <c r="G43" s="4">
        <v>-248.75</v>
      </c>
      <c r="H43" s="5"/>
    </row>
    <row r="44" spans="1:8" x14ac:dyDescent="0.25">
      <c r="A44" s="2" t="s">
        <v>84</v>
      </c>
      <c r="B44" s="2" t="s">
        <v>79</v>
      </c>
      <c r="C44" s="2" t="str">
        <f>"3290139200"</f>
        <v>3290139200</v>
      </c>
      <c r="D44" s="3">
        <v>45806</v>
      </c>
      <c r="E44" s="4">
        <v>-147.59</v>
      </c>
      <c r="F44" s="4">
        <v>0</v>
      </c>
      <c r="G44" s="4">
        <v>-147.59</v>
      </c>
      <c r="H44" s="5"/>
    </row>
    <row r="45" spans="1:8" x14ac:dyDescent="0.25">
      <c r="A45" s="2" t="s">
        <v>85</v>
      </c>
      <c r="B45" s="2" t="s">
        <v>79</v>
      </c>
      <c r="C45" s="2" t="str">
        <f>"3290139000"</f>
        <v>3290139000</v>
      </c>
      <c r="D45" s="3">
        <v>45806</v>
      </c>
      <c r="E45" s="4">
        <v>-246.3</v>
      </c>
      <c r="F45" s="4">
        <v>0</v>
      </c>
      <c r="G45" s="4">
        <v>-246.3</v>
      </c>
      <c r="H45" s="5"/>
    </row>
    <row r="46" spans="1:8" x14ac:dyDescent="0.25">
      <c r="A46" s="2" t="s">
        <v>86</v>
      </c>
      <c r="B46" s="2" t="s">
        <v>79</v>
      </c>
      <c r="C46" s="2" t="str">
        <f>"3290139100"</f>
        <v>3290139100</v>
      </c>
      <c r="D46" s="3">
        <v>45806</v>
      </c>
      <c r="E46" s="4">
        <v>-31.46</v>
      </c>
      <c r="F46" s="4">
        <v>0</v>
      </c>
      <c r="G46" s="4">
        <v>-31.46</v>
      </c>
      <c r="H46" s="5"/>
    </row>
    <row r="47" spans="1:8" x14ac:dyDescent="0.25">
      <c r="A47" s="2" t="s">
        <v>87</v>
      </c>
      <c r="B47" s="2" t="s">
        <v>88</v>
      </c>
      <c r="C47" s="2" t="str">
        <f>"1460514"</f>
        <v>1460514</v>
      </c>
      <c r="D47" s="3">
        <v>45807</v>
      </c>
      <c r="E47" s="4">
        <v>250.48</v>
      </c>
      <c r="F47" s="4">
        <v>0</v>
      </c>
      <c r="G47" s="4">
        <v>250.48</v>
      </c>
      <c r="H47" s="5"/>
    </row>
    <row r="48" spans="1:8" x14ac:dyDescent="0.25">
      <c r="A48" s="2" t="s">
        <v>89</v>
      </c>
      <c r="B48" s="2" t="s">
        <v>90</v>
      </c>
      <c r="C48" s="2" t="str">
        <f>"1460515"</f>
        <v>1460515</v>
      </c>
      <c r="D48" s="3">
        <v>45807</v>
      </c>
      <c r="E48" s="4">
        <v>250.48</v>
      </c>
      <c r="F48" s="4">
        <v>0</v>
      </c>
      <c r="G48" s="4">
        <v>250.48</v>
      </c>
      <c r="H48" s="5"/>
    </row>
    <row r="49" spans="1:8" x14ac:dyDescent="0.25">
      <c r="A49" s="2" t="s">
        <v>91</v>
      </c>
      <c r="B49" s="2" t="s">
        <v>92</v>
      </c>
      <c r="C49" s="2" t="str">
        <f>"1460491"</f>
        <v>1460491</v>
      </c>
      <c r="D49" s="3">
        <v>45807</v>
      </c>
      <c r="E49" s="4">
        <v>2021.24</v>
      </c>
      <c r="F49" s="4">
        <v>0</v>
      </c>
      <c r="G49" s="4">
        <v>2021.24</v>
      </c>
      <c r="H49" s="5"/>
    </row>
    <row r="50" spans="1:8" x14ac:dyDescent="0.25">
      <c r="A50" s="2" t="s">
        <v>93</v>
      </c>
      <c r="B50" s="2" t="s">
        <v>94</v>
      </c>
      <c r="C50" s="2" t="str">
        <f>"1460438"</f>
        <v>1460438</v>
      </c>
      <c r="D50" s="3">
        <v>45807</v>
      </c>
      <c r="E50" s="4">
        <v>1551.1</v>
      </c>
      <c r="F50" s="4">
        <v>0</v>
      </c>
      <c r="G50" s="4">
        <v>1551.1</v>
      </c>
      <c r="H50" s="5"/>
    </row>
    <row r="51" spans="1:8" x14ac:dyDescent="0.25">
      <c r="A51" s="2" t="s">
        <v>95</v>
      </c>
      <c r="B51" s="2" t="s">
        <v>96</v>
      </c>
      <c r="C51" s="2" t="str">
        <f>"1460439"</f>
        <v>1460439</v>
      </c>
      <c r="D51" s="3">
        <v>45807</v>
      </c>
      <c r="E51" s="4">
        <v>676.47</v>
      </c>
      <c r="F51" s="4">
        <v>0</v>
      </c>
      <c r="G51" s="4">
        <v>644.64</v>
      </c>
      <c r="H51" s="5"/>
    </row>
    <row r="52" spans="1:8" x14ac:dyDescent="0.25">
      <c r="A52" s="2" t="s">
        <v>97</v>
      </c>
      <c r="B52" s="2" t="s">
        <v>98</v>
      </c>
      <c r="C52" s="2" t="str">
        <f>"1460440"</f>
        <v>1460440</v>
      </c>
      <c r="D52" s="3">
        <v>45807</v>
      </c>
      <c r="E52" s="4">
        <v>87</v>
      </c>
      <c r="F52" s="4">
        <v>0</v>
      </c>
      <c r="G52" s="4">
        <v>87</v>
      </c>
      <c r="H52" s="5"/>
    </row>
    <row r="53" spans="1:8" x14ac:dyDescent="0.25">
      <c r="A53" s="2" t="s">
        <v>99</v>
      </c>
      <c r="B53" s="2" t="s">
        <v>100</v>
      </c>
      <c r="C53" s="2" t="str">
        <f>"1460441"</f>
        <v>1460441</v>
      </c>
      <c r="D53" s="3">
        <v>45807</v>
      </c>
      <c r="E53" s="4">
        <v>581.15</v>
      </c>
      <c r="F53" s="4">
        <v>0</v>
      </c>
      <c r="G53" s="4">
        <v>581.15</v>
      </c>
      <c r="H53" s="5"/>
    </row>
    <row r="54" spans="1:8" x14ac:dyDescent="0.25">
      <c r="A54" s="2" t="s">
        <v>101</v>
      </c>
      <c r="B54" s="2" t="s">
        <v>102</v>
      </c>
      <c r="C54" s="2" t="str">
        <f>"1460442"</f>
        <v>1460442</v>
      </c>
      <c r="D54" s="3">
        <v>45807</v>
      </c>
      <c r="E54" s="4">
        <v>8366.52</v>
      </c>
      <c r="F54" s="4">
        <v>0</v>
      </c>
      <c r="G54" s="4">
        <v>7470.12</v>
      </c>
      <c r="H54" s="5"/>
    </row>
    <row r="55" spans="1:8" x14ac:dyDescent="0.25">
      <c r="A55" s="2" t="s">
        <v>103</v>
      </c>
      <c r="B55" s="2" t="s">
        <v>104</v>
      </c>
      <c r="C55" s="2" t="str">
        <f>"1460443"</f>
        <v>1460443</v>
      </c>
      <c r="D55" s="3">
        <v>45807</v>
      </c>
      <c r="E55" s="4">
        <v>8366.52</v>
      </c>
      <c r="F55" s="4">
        <v>0</v>
      </c>
      <c r="G55" s="4">
        <v>7470.12</v>
      </c>
      <c r="H55" s="5"/>
    </row>
    <row r="56" spans="1:8" x14ac:dyDescent="0.25">
      <c r="A56" s="2" t="s">
        <v>105</v>
      </c>
      <c r="B56" s="2" t="s">
        <v>106</v>
      </c>
      <c r="C56" s="2" t="str">
        <f>"1460444"</f>
        <v>1460444</v>
      </c>
      <c r="D56" s="3">
        <v>45807</v>
      </c>
      <c r="E56" s="4">
        <v>1097.04</v>
      </c>
      <c r="F56" s="4">
        <v>0</v>
      </c>
      <c r="G56" s="4">
        <v>1097.04</v>
      </c>
      <c r="H56" s="5"/>
    </row>
    <row r="57" spans="1:8" x14ac:dyDescent="0.25">
      <c r="A57" s="2" t="s">
        <v>107</v>
      </c>
      <c r="B57" s="2" t="s">
        <v>108</v>
      </c>
      <c r="C57" s="2" t="str">
        <f>"1460445"</f>
        <v>1460445</v>
      </c>
      <c r="D57" s="3">
        <v>45807</v>
      </c>
      <c r="E57" s="4">
        <v>1146.68</v>
      </c>
      <c r="F57" s="4">
        <v>0</v>
      </c>
      <c r="G57" s="4">
        <v>1146.68</v>
      </c>
      <c r="H57" s="5"/>
    </row>
    <row r="58" spans="1:8" x14ac:dyDescent="0.25">
      <c r="A58" s="2" t="s">
        <v>109</v>
      </c>
      <c r="B58" s="2" t="s">
        <v>110</v>
      </c>
      <c r="C58" s="2" t="str">
        <f>"1460446"</f>
        <v>1460446</v>
      </c>
      <c r="D58" s="3">
        <v>45807</v>
      </c>
      <c r="E58" s="4">
        <v>2664.3</v>
      </c>
      <c r="F58" s="4">
        <v>0</v>
      </c>
      <c r="G58" s="4">
        <v>2664.3</v>
      </c>
      <c r="H58" s="5"/>
    </row>
    <row r="59" spans="1:8" x14ac:dyDescent="0.25">
      <c r="A59" s="2" t="s">
        <v>111</v>
      </c>
      <c r="B59" s="2" t="s">
        <v>112</v>
      </c>
      <c r="C59" s="2" t="str">
        <f>"1460447"</f>
        <v>1460447</v>
      </c>
      <c r="D59" s="3">
        <v>45807</v>
      </c>
      <c r="E59" s="4">
        <v>379.64</v>
      </c>
      <c r="F59" s="4">
        <v>0</v>
      </c>
      <c r="G59" s="4">
        <v>379.64</v>
      </c>
      <c r="H59" s="5"/>
    </row>
    <row r="60" spans="1:8" x14ac:dyDescent="0.25">
      <c r="A60" s="2" t="s">
        <v>113</v>
      </c>
      <c r="B60" s="2" t="s">
        <v>114</v>
      </c>
      <c r="C60" s="2" t="str">
        <f>"1460448"</f>
        <v>1460448</v>
      </c>
      <c r="D60" s="3">
        <v>45807</v>
      </c>
      <c r="E60" s="4">
        <v>397.08</v>
      </c>
      <c r="F60" s="4">
        <v>0</v>
      </c>
      <c r="G60" s="4">
        <v>397.08</v>
      </c>
      <c r="H60" s="5"/>
    </row>
    <row r="61" spans="1:8" x14ac:dyDescent="0.25">
      <c r="A61" s="2" t="s">
        <v>115</v>
      </c>
      <c r="B61" s="2" t="s">
        <v>116</v>
      </c>
      <c r="C61" s="2" t="str">
        <f>"1460449"</f>
        <v>1460449</v>
      </c>
      <c r="D61" s="3">
        <v>45807</v>
      </c>
      <c r="E61" s="4">
        <v>222.64</v>
      </c>
      <c r="F61" s="4">
        <v>0</v>
      </c>
      <c r="G61" s="4">
        <v>222.64</v>
      </c>
      <c r="H61" s="5"/>
    </row>
    <row r="62" spans="1:8" x14ac:dyDescent="0.25">
      <c r="A62" s="2" t="s">
        <v>117</v>
      </c>
      <c r="B62" s="2" t="s">
        <v>118</v>
      </c>
      <c r="C62" s="2" t="str">
        <f>"1460450"</f>
        <v>1460450</v>
      </c>
      <c r="D62" s="3">
        <v>45807</v>
      </c>
      <c r="E62" s="4">
        <v>1751.96</v>
      </c>
      <c r="F62" s="4">
        <v>0</v>
      </c>
      <c r="G62" s="4">
        <v>1751.96</v>
      </c>
      <c r="H62" s="5"/>
    </row>
    <row r="63" spans="1:8" x14ac:dyDescent="0.25">
      <c r="A63" s="2" t="s">
        <v>119</v>
      </c>
      <c r="B63" s="2" t="s">
        <v>120</v>
      </c>
      <c r="C63" s="2" t="str">
        <f>"1460452"</f>
        <v>1460452</v>
      </c>
      <c r="D63" s="3">
        <v>45807</v>
      </c>
      <c r="E63" s="4">
        <v>3654.7</v>
      </c>
      <c r="F63" s="4">
        <v>0</v>
      </c>
      <c r="G63" s="4">
        <v>3654.7</v>
      </c>
      <c r="H63" s="5"/>
    </row>
    <row r="64" spans="1:8" x14ac:dyDescent="0.25">
      <c r="A64" s="2" t="s">
        <v>121</v>
      </c>
      <c r="B64" s="2" t="s">
        <v>122</v>
      </c>
      <c r="C64" s="2" t="str">
        <f>"1460516"</f>
        <v>1460516</v>
      </c>
      <c r="D64" s="3">
        <v>45807</v>
      </c>
      <c r="E64" s="4">
        <v>479.2</v>
      </c>
      <c r="F64" s="4">
        <v>0</v>
      </c>
      <c r="G64" s="4">
        <v>479.2</v>
      </c>
      <c r="H64" s="5"/>
    </row>
    <row r="65" spans="1:8" x14ac:dyDescent="0.25">
      <c r="A65" s="2" t="s">
        <v>123</v>
      </c>
      <c r="B65" s="2" t="s">
        <v>124</v>
      </c>
      <c r="C65" s="2" t="str">
        <f>"1460114"</f>
        <v>1460114</v>
      </c>
      <c r="D65" s="3">
        <v>45807</v>
      </c>
      <c r="E65" s="4">
        <v>3376.35</v>
      </c>
      <c r="F65" s="4">
        <v>0</v>
      </c>
      <c r="G65" s="4">
        <v>3376.35</v>
      </c>
      <c r="H65" s="5"/>
    </row>
    <row r="66" spans="1:8" x14ac:dyDescent="0.25">
      <c r="A66" s="2" t="s">
        <v>125</v>
      </c>
      <c r="B66" s="2" t="s">
        <v>126</v>
      </c>
      <c r="C66" s="2" t="str">
        <f>"1460454"</f>
        <v>1460454</v>
      </c>
      <c r="D66" s="3">
        <v>45807</v>
      </c>
      <c r="E66" s="4">
        <v>7483.5</v>
      </c>
      <c r="F66" s="4">
        <v>0</v>
      </c>
      <c r="G66" s="4">
        <v>7483.5</v>
      </c>
      <c r="H66" s="5"/>
    </row>
    <row r="67" spans="1:8" x14ac:dyDescent="0.25">
      <c r="A67" s="2" t="s">
        <v>127</v>
      </c>
      <c r="B67" s="2" t="s">
        <v>128</v>
      </c>
      <c r="C67" s="2" t="str">
        <f>"1460508"</f>
        <v>1460508</v>
      </c>
      <c r="D67" s="3">
        <v>45807</v>
      </c>
      <c r="E67" s="4">
        <v>19520.93</v>
      </c>
      <c r="F67" s="4">
        <v>0</v>
      </c>
      <c r="G67" s="4">
        <v>19520.93</v>
      </c>
      <c r="H67" s="5"/>
    </row>
    <row r="68" spans="1:8" x14ac:dyDescent="0.25">
      <c r="A68" s="2" t="s">
        <v>129</v>
      </c>
      <c r="B68" s="2" t="s">
        <v>130</v>
      </c>
      <c r="C68" s="2" t="str">
        <f>"1460455"</f>
        <v>1460455</v>
      </c>
      <c r="D68" s="3">
        <v>45807</v>
      </c>
      <c r="E68" s="4">
        <v>183.3</v>
      </c>
      <c r="F68" s="4">
        <v>0</v>
      </c>
      <c r="G68" s="4">
        <v>183.3</v>
      </c>
      <c r="H68" s="5"/>
    </row>
    <row r="69" spans="1:8" x14ac:dyDescent="0.25">
      <c r="A69" s="2" t="s">
        <v>131</v>
      </c>
      <c r="B69" s="2" t="s">
        <v>132</v>
      </c>
      <c r="C69" s="2" t="str">
        <f>"1460509"</f>
        <v>1460509</v>
      </c>
      <c r="D69" s="3">
        <v>45807</v>
      </c>
      <c r="E69" s="4">
        <v>5935.68</v>
      </c>
      <c r="F69" s="4">
        <v>0</v>
      </c>
      <c r="G69" s="4">
        <v>5935.68</v>
      </c>
      <c r="H69" s="5"/>
    </row>
    <row r="70" spans="1:8" x14ac:dyDescent="0.25">
      <c r="A70" s="2" t="s">
        <v>133</v>
      </c>
      <c r="B70" s="2" t="s">
        <v>134</v>
      </c>
      <c r="C70" s="2" t="str">
        <f>"1460525"</f>
        <v>1460525</v>
      </c>
      <c r="D70" s="3">
        <v>45807</v>
      </c>
      <c r="E70" s="4">
        <v>1074.1600000000001</v>
      </c>
      <c r="F70" s="4">
        <v>0</v>
      </c>
      <c r="G70" s="4">
        <v>1074.1600000000001</v>
      </c>
      <c r="H70" s="5"/>
    </row>
    <row r="71" spans="1:8" x14ac:dyDescent="0.25">
      <c r="A71" s="2" t="s">
        <v>135</v>
      </c>
      <c r="B71" s="2" t="s">
        <v>136</v>
      </c>
      <c r="C71" s="2" t="str">
        <f>"1460541"</f>
        <v>1460541</v>
      </c>
      <c r="D71" s="3">
        <v>45808</v>
      </c>
      <c r="E71" s="4">
        <v>519.4</v>
      </c>
      <c r="F71" s="4">
        <v>0</v>
      </c>
      <c r="G71" s="4">
        <v>519.4</v>
      </c>
      <c r="H71" s="5"/>
    </row>
    <row r="72" spans="1:8" x14ac:dyDescent="0.25">
      <c r="A72" s="2" t="s">
        <v>137</v>
      </c>
      <c r="B72" s="2" t="s">
        <v>138</v>
      </c>
      <c r="C72" s="2" t="str">
        <f>"1460542"</f>
        <v>1460542</v>
      </c>
      <c r="D72" s="3">
        <v>45808</v>
      </c>
      <c r="E72" s="4">
        <v>1188.3900000000001</v>
      </c>
      <c r="F72" s="4">
        <v>0</v>
      </c>
      <c r="G72" s="4">
        <v>1188.3900000000001</v>
      </c>
      <c r="H72" s="5"/>
    </row>
    <row r="73" spans="1:8" x14ac:dyDescent="0.25">
      <c r="A73" s="2" t="s">
        <v>139</v>
      </c>
      <c r="B73" s="2" t="s">
        <v>140</v>
      </c>
      <c r="C73" s="2" t="str">
        <f>"1460543"</f>
        <v>1460543</v>
      </c>
      <c r="D73" s="3">
        <v>45808</v>
      </c>
      <c r="E73" s="4">
        <v>913.8</v>
      </c>
      <c r="F73" s="4">
        <v>0</v>
      </c>
      <c r="G73" s="4">
        <v>913.8</v>
      </c>
      <c r="H73" s="5"/>
    </row>
    <row r="74" spans="1:8" x14ac:dyDescent="0.25">
      <c r="A74" s="2" t="s">
        <v>141</v>
      </c>
      <c r="B74" s="2" t="s">
        <v>142</v>
      </c>
      <c r="C74" s="2" t="str">
        <f>"1460582"</f>
        <v>1460582</v>
      </c>
      <c r="D74" s="3">
        <v>45808</v>
      </c>
      <c r="E74" s="4">
        <v>1047.0999999999999</v>
      </c>
      <c r="F74" s="4">
        <v>0</v>
      </c>
      <c r="G74" s="4">
        <v>1047.0999999999999</v>
      </c>
      <c r="H74" s="5"/>
    </row>
    <row r="75" spans="1:8" x14ac:dyDescent="0.25">
      <c r="A75" s="2" t="s">
        <v>143</v>
      </c>
      <c r="B75" s="2" t="s">
        <v>144</v>
      </c>
      <c r="C75" s="2" t="str">
        <f>"1460588"</f>
        <v>1460588</v>
      </c>
      <c r="D75" s="3">
        <v>45808</v>
      </c>
      <c r="E75" s="4">
        <v>588.16</v>
      </c>
      <c r="F75" s="4">
        <v>0</v>
      </c>
      <c r="G75" s="4">
        <v>588.16</v>
      </c>
      <c r="H75" s="5"/>
    </row>
    <row r="76" spans="1:8" x14ac:dyDescent="0.25">
      <c r="A76" s="2" t="s">
        <v>145</v>
      </c>
      <c r="B76" s="2" t="s">
        <v>146</v>
      </c>
      <c r="C76" s="2" t="str">
        <f>"1460603"</f>
        <v>1460603</v>
      </c>
      <c r="D76" s="3">
        <v>45808</v>
      </c>
      <c r="E76" s="4">
        <v>1779.16</v>
      </c>
      <c r="F76" s="4">
        <v>0</v>
      </c>
      <c r="G76" s="4">
        <v>1779.16</v>
      </c>
      <c r="H76" s="5"/>
    </row>
    <row r="77" spans="1:8" x14ac:dyDescent="0.25">
      <c r="A77" s="2" t="s">
        <v>147</v>
      </c>
      <c r="B77" s="2" t="s">
        <v>148</v>
      </c>
      <c r="C77" s="2" t="str">
        <f>"1460544"</f>
        <v>1460544</v>
      </c>
      <c r="D77" s="3">
        <v>45808</v>
      </c>
      <c r="E77" s="4">
        <v>236.04</v>
      </c>
      <c r="F77" s="4">
        <v>0</v>
      </c>
      <c r="G77" s="4">
        <v>236.04</v>
      </c>
      <c r="H77" s="5"/>
    </row>
    <row r="78" spans="1:8" x14ac:dyDescent="0.25">
      <c r="A78" s="2" t="s">
        <v>149</v>
      </c>
      <c r="B78" s="2" t="s">
        <v>150</v>
      </c>
      <c r="C78" s="2" t="str">
        <f>"1460589"</f>
        <v>1460589</v>
      </c>
      <c r="D78" s="3">
        <v>45808</v>
      </c>
      <c r="E78" s="4">
        <v>1329.8</v>
      </c>
      <c r="F78" s="4">
        <v>0</v>
      </c>
      <c r="G78" s="4">
        <v>1329.8</v>
      </c>
      <c r="H78" s="5"/>
    </row>
    <row r="79" spans="1:8" x14ac:dyDescent="0.25">
      <c r="A79" s="2" t="s">
        <v>151</v>
      </c>
      <c r="B79" s="2" t="s">
        <v>152</v>
      </c>
      <c r="C79" s="2" t="str">
        <f>"1460546"</f>
        <v>1460546</v>
      </c>
      <c r="D79" s="3">
        <v>45808</v>
      </c>
      <c r="E79" s="4">
        <v>1239.3</v>
      </c>
      <c r="F79" s="4">
        <v>0</v>
      </c>
      <c r="G79" s="4">
        <v>1239.3</v>
      </c>
      <c r="H79" s="5"/>
    </row>
    <row r="80" spans="1:8" x14ac:dyDescent="0.25">
      <c r="A80" s="2" t="s">
        <v>153</v>
      </c>
      <c r="B80" s="2" t="s">
        <v>154</v>
      </c>
      <c r="C80" s="2" t="str">
        <f>"1460547"</f>
        <v>1460547</v>
      </c>
      <c r="D80" s="3">
        <v>45808</v>
      </c>
      <c r="E80" s="4">
        <v>1242.2</v>
      </c>
      <c r="F80" s="4">
        <v>0</v>
      </c>
      <c r="G80" s="4">
        <v>1242.2</v>
      </c>
      <c r="H80" s="5"/>
    </row>
    <row r="81" spans="1:8" x14ac:dyDescent="0.25">
      <c r="A81" s="2" t="s">
        <v>155</v>
      </c>
      <c r="B81" s="2" t="s">
        <v>156</v>
      </c>
      <c r="C81" s="2" t="str">
        <f>"1460590"</f>
        <v>1460590</v>
      </c>
      <c r="D81" s="3">
        <v>45808</v>
      </c>
      <c r="E81" s="4">
        <v>9851.5499999999993</v>
      </c>
      <c r="F81" s="4">
        <v>0</v>
      </c>
      <c r="G81" s="4">
        <v>9851.5499999999993</v>
      </c>
      <c r="H81" s="5"/>
    </row>
    <row r="82" spans="1:8" x14ac:dyDescent="0.25">
      <c r="A82" s="2" t="s">
        <v>157</v>
      </c>
      <c r="B82" s="2" t="s">
        <v>158</v>
      </c>
      <c r="C82" s="2" t="str">
        <f>"1460575"</f>
        <v>1460575</v>
      </c>
      <c r="D82" s="3">
        <v>45808</v>
      </c>
      <c r="E82" s="4">
        <v>1491.85</v>
      </c>
      <c r="F82" s="4">
        <v>0</v>
      </c>
      <c r="G82" s="4">
        <v>1491.85</v>
      </c>
      <c r="H82" s="5"/>
    </row>
    <row r="83" spans="1:8" x14ac:dyDescent="0.25">
      <c r="A83" s="2" t="s">
        <v>159</v>
      </c>
      <c r="B83" s="2" t="s">
        <v>160</v>
      </c>
      <c r="C83" s="2" t="str">
        <f>"1460421"</f>
        <v>1460421</v>
      </c>
      <c r="D83" s="3">
        <v>45808</v>
      </c>
      <c r="E83" s="4">
        <v>736.4</v>
      </c>
      <c r="F83" s="4">
        <v>0</v>
      </c>
      <c r="G83" s="4">
        <v>736.4</v>
      </c>
      <c r="H83" s="5"/>
    </row>
    <row r="84" spans="1:8" x14ac:dyDescent="0.25">
      <c r="A84" s="2" t="s">
        <v>161</v>
      </c>
      <c r="B84" s="2" t="s">
        <v>162</v>
      </c>
      <c r="C84" s="2" t="str">
        <f>"1460453"</f>
        <v>1460453</v>
      </c>
      <c r="D84" s="3">
        <v>45808</v>
      </c>
      <c r="E84" s="4">
        <v>835.84</v>
      </c>
      <c r="F84" s="4">
        <v>0</v>
      </c>
      <c r="G84" s="4">
        <v>835.84</v>
      </c>
      <c r="H84" s="5"/>
    </row>
    <row r="85" spans="1:8" x14ac:dyDescent="0.25">
      <c r="A85" s="2" t="s">
        <v>163</v>
      </c>
      <c r="B85" s="2" t="s">
        <v>164</v>
      </c>
      <c r="C85" s="2" t="str">
        <f>"1460495"</f>
        <v>1460495</v>
      </c>
      <c r="D85" s="3">
        <v>45808</v>
      </c>
      <c r="E85" s="4">
        <v>208.18</v>
      </c>
      <c r="F85" s="4">
        <v>0</v>
      </c>
      <c r="G85" s="4">
        <v>208.18</v>
      </c>
      <c r="H85" s="5"/>
    </row>
    <row r="86" spans="1:8" x14ac:dyDescent="0.25">
      <c r="A86" s="2" t="s">
        <v>165</v>
      </c>
      <c r="B86" s="2" t="s">
        <v>166</v>
      </c>
      <c r="C86" s="2" t="str">
        <f>"1460578"</f>
        <v>1460578</v>
      </c>
      <c r="D86" s="3">
        <v>45808</v>
      </c>
      <c r="E86" s="4">
        <v>3244.77</v>
      </c>
      <c r="F86" s="4">
        <v>0</v>
      </c>
      <c r="G86" s="4">
        <v>3244.77</v>
      </c>
      <c r="H86" s="5"/>
    </row>
    <row r="87" spans="1:8" x14ac:dyDescent="0.25">
      <c r="A87" s="2" t="s">
        <v>167</v>
      </c>
      <c r="B87" s="2" t="s">
        <v>168</v>
      </c>
      <c r="C87" s="2" t="str">
        <f>"1460579"</f>
        <v>1460579</v>
      </c>
      <c r="D87" s="3">
        <v>45808</v>
      </c>
      <c r="E87" s="4">
        <v>3267.42</v>
      </c>
      <c r="F87" s="4">
        <v>0</v>
      </c>
      <c r="G87" s="4">
        <v>3267.42</v>
      </c>
      <c r="H87" s="5"/>
    </row>
    <row r="88" spans="1:8" x14ac:dyDescent="0.25">
      <c r="A88" s="2" t="s">
        <v>169</v>
      </c>
      <c r="B88" s="2" t="s">
        <v>170</v>
      </c>
      <c r="C88" s="2" t="str">
        <f>"1460580"</f>
        <v>1460580</v>
      </c>
      <c r="D88" s="3">
        <v>45808</v>
      </c>
      <c r="E88" s="4">
        <v>20233.5</v>
      </c>
      <c r="F88" s="4">
        <v>0</v>
      </c>
      <c r="G88" s="4">
        <v>20233.5</v>
      </c>
      <c r="H88" s="5"/>
    </row>
    <row r="89" spans="1:8" x14ac:dyDescent="0.25">
      <c r="A89" s="2" t="s">
        <v>171</v>
      </c>
      <c r="B89" s="2" t="s">
        <v>77</v>
      </c>
      <c r="C89" s="2" t="str">
        <f>"1460606"</f>
        <v>1460606</v>
      </c>
      <c r="D89" s="3">
        <v>45808</v>
      </c>
      <c r="E89" s="4">
        <v>322.66000000000003</v>
      </c>
      <c r="F89" s="4">
        <v>0</v>
      </c>
      <c r="G89" s="4">
        <v>10002.459999999999</v>
      </c>
      <c r="H89" s="5"/>
    </row>
    <row r="90" spans="1:8" x14ac:dyDescent="0.25">
      <c r="A90" s="2" t="s">
        <v>172</v>
      </c>
      <c r="B90" s="2" t="s">
        <v>77</v>
      </c>
      <c r="C90" s="2" t="str">
        <f>"1460606"</f>
        <v>1460606</v>
      </c>
      <c r="D90" s="3">
        <v>45808</v>
      </c>
      <c r="E90" s="4">
        <v>9679.7999999999993</v>
      </c>
      <c r="F90" s="4">
        <v>0</v>
      </c>
      <c r="G90" s="4">
        <v>10002.459999999999</v>
      </c>
      <c r="H90" s="5"/>
    </row>
    <row r="91" spans="1:8" x14ac:dyDescent="0.25">
      <c r="A91" s="2" t="s">
        <v>173</v>
      </c>
      <c r="B91" s="2" t="s">
        <v>174</v>
      </c>
      <c r="C91" s="2" t="s">
        <v>261</v>
      </c>
      <c r="D91" s="3">
        <v>45810</v>
      </c>
      <c r="E91" s="4">
        <v>1140.1400000000001</v>
      </c>
      <c r="F91" s="4">
        <v>0</v>
      </c>
      <c r="G91" s="4">
        <v>1140.1400000000001</v>
      </c>
      <c r="H91" s="5"/>
    </row>
    <row r="92" spans="1:8" x14ac:dyDescent="0.25">
      <c r="A92" s="2" t="s">
        <v>175</v>
      </c>
      <c r="B92" s="2" t="s">
        <v>176</v>
      </c>
      <c r="C92" s="2" t="str">
        <f>"1460537"</f>
        <v>1460537</v>
      </c>
      <c r="D92" s="3">
        <v>45810</v>
      </c>
      <c r="E92" s="4">
        <v>76.44</v>
      </c>
      <c r="F92" s="4">
        <v>0</v>
      </c>
      <c r="G92" s="4">
        <v>76.44</v>
      </c>
      <c r="H92" s="5"/>
    </row>
    <row r="93" spans="1:8" x14ac:dyDescent="0.25">
      <c r="A93" s="2" t="s">
        <v>177</v>
      </c>
      <c r="B93" s="2" t="s">
        <v>178</v>
      </c>
      <c r="C93" s="2" t="s">
        <v>262</v>
      </c>
      <c r="D93" s="3">
        <v>45810</v>
      </c>
      <c r="E93" s="4">
        <v>1500</v>
      </c>
      <c r="F93" s="4">
        <v>0</v>
      </c>
      <c r="G93" s="4">
        <v>1500</v>
      </c>
      <c r="H93" s="5"/>
    </row>
    <row r="94" spans="1:8" x14ac:dyDescent="0.25">
      <c r="A94" s="2" t="s">
        <v>179</v>
      </c>
      <c r="B94" s="2" t="s">
        <v>178</v>
      </c>
      <c r="C94" s="2" t="s">
        <v>262</v>
      </c>
      <c r="D94" s="3">
        <v>45810</v>
      </c>
      <c r="E94" s="4">
        <v>18727.37</v>
      </c>
      <c r="F94" s="4">
        <v>0</v>
      </c>
      <c r="G94" s="4">
        <v>18727.37</v>
      </c>
      <c r="H94" s="5"/>
    </row>
    <row r="95" spans="1:8" x14ac:dyDescent="0.25">
      <c r="A95" s="2" t="s">
        <v>180</v>
      </c>
      <c r="B95" s="2" t="s">
        <v>181</v>
      </c>
      <c r="C95" s="2" t="str">
        <f>"1460538"</f>
        <v>1460538</v>
      </c>
      <c r="D95" s="3">
        <v>45810</v>
      </c>
      <c r="E95" s="4">
        <v>5161.92</v>
      </c>
      <c r="F95" s="4">
        <v>0</v>
      </c>
      <c r="G95" s="4">
        <v>5161.92</v>
      </c>
      <c r="H95" s="5"/>
    </row>
    <row r="96" spans="1:8" x14ac:dyDescent="0.25">
      <c r="A96" s="2" t="s">
        <v>182</v>
      </c>
      <c r="B96" s="2" t="s">
        <v>183</v>
      </c>
      <c r="C96" s="2" t="s">
        <v>263</v>
      </c>
      <c r="D96" s="3">
        <v>45810</v>
      </c>
      <c r="E96" s="4">
        <v>7888.08</v>
      </c>
      <c r="F96" s="4">
        <v>0</v>
      </c>
      <c r="G96" s="4">
        <v>7888.08</v>
      </c>
      <c r="H96" s="5"/>
    </row>
    <row r="97" spans="1:8" x14ac:dyDescent="0.25">
      <c r="A97" s="2" t="s">
        <v>184</v>
      </c>
      <c r="B97" s="2" t="s">
        <v>185</v>
      </c>
      <c r="C97" s="2" t="s">
        <v>264</v>
      </c>
      <c r="D97" s="3">
        <v>45810</v>
      </c>
      <c r="E97" s="4">
        <v>1108.58</v>
      </c>
      <c r="F97" s="4">
        <v>0</v>
      </c>
      <c r="G97" s="4">
        <v>1108.58</v>
      </c>
      <c r="H97" s="5"/>
    </row>
    <row r="98" spans="1:8" x14ac:dyDescent="0.25">
      <c r="A98" s="2" t="s">
        <v>186</v>
      </c>
      <c r="B98" s="2" t="s">
        <v>187</v>
      </c>
      <c r="C98" s="2" t="s">
        <v>265</v>
      </c>
      <c r="D98" s="3">
        <v>45810</v>
      </c>
      <c r="E98" s="4">
        <v>191711.99</v>
      </c>
      <c r="F98" s="4">
        <v>0</v>
      </c>
      <c r="G98" s="4">
        <v>191711.99</v>
      </c>
      <c r="H98" s="5"/>
    </row>
    <row r="99" spans="1:8" x14ac:dyDescent="0.25">
      <c r="A99" s="2" t="s">
        <v>188</v>
      </c>
      <c r="B99" s="2" t="s">
        <v>187</v>
      </c>
      <c r="C99" s="2" t="s">
        <v>266</v>
      </c>
      <c r="D99" s="3">
        <v>45810</v>
      </c>
      <c r="E99" s="4">
        <v>438.61</v>
      </c>
      <c r="F99" s="4">
        <v>0</v>
      </c>
      <c r="G99" s="4">
        <v>438.61</v>
      </c>
      <c r="H99" s="5"/>
    </row>
    <row r="100" spans="1:8" x14ac:dyDescent="0.25">
      <c r="A100" s="2" t="s">
        <v>189</v>
      </c>
      <c r="B100" s="2" t="s">
        <v>190</v>
      </c>
      <c r="C100" s="2" t="str">
        <f>"1443754"</f>
        <v>1443754</v>
      </c>
      <c r="D100" s="3">
        <v>45810</v>
      </c>
      <c r="E100" s="4">
        <v>1250</v>
      </c>
      <c r="F100" s="4">
        <v>0</v>
      </c>
      <c r="G100" s="4">
        <v>1250</v>
      </c>
      <c r="H100" s="5"/>
    </row>
    <row r="101" spans="1:8" x14ac:dyDescent="0.25">
      <c r="A101" s="2" t="s">
        <v>191</v>
      </c>
      <c r="B101" s="2" t="s">
        <v>192</v>
      </c>
      <c r="C101" s="2" t="s">
        <v>267</v>
      </c>
      <c r="D101" s="3">
        <v>45810</v>
      </c>
      <c r="E101" s="4">
        <v>6561</v>
      </c>
      <c r="F101" s="4">
        <v>0</v>
      </c>
      <c r="G101" s="4">
        <v>6561</v>
      </c>
      <c r="H101" s="5"/>
    </row>
    <row r="102" spans="1:8" x14ac:dyDescent="0.25">
      <c r="A102" s="2" t="s">
        <v>193</v>
      </c>
      <c r="B102" s="2" t="s">
        <v>156</v>
      </c>
      <c r="C102" s="2" t="str">
        <f>"1443690"</f>
        <v>1443690</v>
      </c>
      <c r="D102" s="3">
        <v>45810</v>
      </c>
      <c r="E102" s="4">
        <v>18900</v>
      </c>
      <c r="F102" s="4">
        <v>0</v>
      </c>
      <c r="G102" s="4">
        <v>18900</v>
      </c>
      <c r="H102" s="5"/>
    </row>
    <row r="103" spans="1:8" x14ac:dyDescent="0.25">
      <c r="A103" s="2" t="s">
        <v>194</v>
      </c>
      <c r="B103" s="2" t="s">
        <v>195</v>
      </c>
      <c r="C103" s="2" t="str">
        <f>"1443744"</f>
        <v>1443744</v>
      </c>
      <c r="D103" s="3">
        <v>45810</v>
      </c>
      <c r="E103" s="4">
        <v>1350</v>
      </c>
      <c r="F103" s="4">
        <v>0</v>
      </c>
      <c r="G103" s="4">
        <v>1350</v>
      </c>
      <c r="H103" s="5"/>
    </row>
    <row r="104" spans="1:8" x14ac:dyDescent="0.25">
      <c r="A104" s="2" t="s">
        <v>196</v>
      </c>
      <c r="B104" s="2" t="s">
        <v>197</v>
      </c>
      <c r="C104" s="2" t="str">
        <f>"1443743"</f>
        <v>1443743</v>
      </c>
      <c r="D104" s="3">
        <v>45810</v>
      </c>
      <c r="E104" s="4">
        <v>9950</v>
      </c>
      <c r="F104" s="4">
        <v>0</v>
      </c>
      <c r="G104" s="4">
        <v>9950</v>
      </c>
      <c r="H104" s="5"/>
    </row>
    <row r="105" spans="1:8" x14ac:dyDescent="0.25">
      <c r="A105" s="2" t="s">
        <v>198</v>
      </c>
      <c r="B105" s="2" t="s">
        <v>199</v>
      </c>
      <c r="C105" s="2" t="s">
        <v>268</v>
      </c>
      <c r="D105" s="3">
        <v>45810</v>
      </c>
      <c r="E105" s="4">
        <v>15320.24</v>
      </c>
      <c r="F105" s="4">
        <v>0</v>
      </c>
      <c r="G105" s="4">
        <v>15320.24</v>
      </c>
      <c r="H105" s="5"/>
    </row>
    <row r="106" spans="1:8" x14ac:dyDescent="0.25">
      <c r="A106" s="2" t="s">
        <v>200</v>
      </c>
      <c r="B106" s="2" t="s">
        <v>199</v>
      </c>
      <c r="C106" s="2" t="s">
        <v>268</v>
      </c>
      <c r="D106" s="3">
        <v>45810</v>
      </c>
      <c r="E106" s="4">
        <v>3000</v>
      </c>
      <c r="F106" s="4">
        <v>0</v>
      </c>
      <c r="G106" s="4">
        <v>3000</v>
      </c>
      <c r="H106" s="5"/>
    </row>
    <row r="107" spans="1:8" x14ac:dyDescent="0.25">
      <c r="A107" s="2" t="s">
        <v>201</v>
      </c>
      <c r="B107" s="2" t="s">
        <v>202</v>
      </c>
      <c r="C107" s="2" t="str">
        <f>"1460668"</f>
        <v>1460668</v>
      </c>
      <c r="D107" s="3">
        <v>45811</v>
      </c>
      <c r="E107" s="4">
        <v>28581.84</v>
      </c>
      <c r="F107" s="4">
        <v>0</v>
      </c>
      <c r="G107" s="4">
        <v>28581.84</v>
      </c>
      <c r="H107" s="5"/>
    </row>
    <row r="108" spans="1:8" x14ac:dyDescent="0.25">
      <c r="A108" s="2" t="s">
        <v>203</v>
      </c>
      <c r="B108" s="2" t="s">
        <v>202</v>
      </c>
      <c r="C108" s="2" t="str">
        <f>"1460669"</f>
        <v>1460669</v>
      </c>
      <c r="D108" s="3">
        <v>45811</v>
      </c>
      <c r="E108" s="4">
        <v>9527.2800000000007</v>
      </c>
      <c r="F108" s="4">
        <v>0</v>
      </c>
      <c r="G108" s="4">
        <v>9527.2800000000007</v>
      </c>
      <c r="H108" s="5"/>
    </row>
    <row r="109" spans="1:8" x14ac:dyDescent="0.25">
      <c r="A109" s="2" t="s">
        <v>204</v>
      </c>
      <c r="B109" s="2" t="s">
        <v>205</v>
      </c>
      <c r="C109" s="2" t="str">
        <f>"1460715"</f>
        <v>1460715</v>
      </c>
      <c r="D109" s="3">
        <v>45811</v>
      </c>
      <c r="E109" s="4">
        <v>651.20000000000005</v>
      </c>
      <c r="F109" s="4">
        <v>0</v>
      </c>
      <c r="G109" s="4">
        <v>651.20000000000005</v>
      </c>
      <c r="H109" s="5"/>
    </row>
    <row r="110" spans="1:8" x14ac:dyDescent="0.25">
      <c r="A110" s="2" t="s">
        <v>206</v>
      </c>
      <c r="B110" s="2" t="s">
        <v>35</v>
      </c>
      <c r="C110" s="2" t="str">
        <f>"1460689"</f>
        <v>1460689</v>
      </c>
      <c r="D110" s="3">
        <v>45811</v>
      </c>
      <c r="E110" s="4">
        <v>1293.45</v>
      </c>
      <c r="F110" s="4">
        <v>0</v>
      </c>
      <c r="G110" s="4">
        <v>1293.45</v>
      </c>
      <c r="H110" s="5"/>
    </row>
    <row r="111" spans="1:8" x14ac:dyDescent="0.25">
      <c r="A111" s="2" t="s">
        <v>207</v>
      </c>
      <c r="B111" s="2" t="s">
        <v>190</v>
      </c>
      <c r="C111" s="2" t="str">
        <f>"1460691"</f>
        <v>1460691</v>
      </c>
      <c r="D111" s="3">
        <v>45811</v>
      </c>
      <c r="E111" s="4">
        <v>1293.45</v>
      </c>
      <c r="F111" s="4">
        <v>0</v>
      </c>
      <c r="G111" s="4">
        <v>1293.45</v>
      </c>
      <c r="H111" s="5"/>
    </row>
    <row r="112" spans="1:8" x14ac:dyDescent="0.25">
      <c r="A112" s="2" t="s">
        <v>208</v>
      </c>
      <c r="B112" s="2" t="s">
        <v>190</v>
      </c>
      <c r="C112" s="2" t="str">
        <f>"1460692"</f>
        <v>1460692</v>
      </c>
      <c r="D112" s="3">
        <v>45811</v>
      </c>
      <c r="E112" s="4">
        <v>1293.45</v>
      </c>
      <c r="F112" s="4">
        <v>0</v>
      </c>
      <c r="G112" s="4">
        <v>1293.45</v>
      </c>
      <c r="H112" s="5"/>
    </row>
    <row r="113" spans="1:8" x14ac:dyDescent="0.25">
      <c r="A113" s="2" t="s">
        <v>209</v>
      </c>
      <c r="B113" s="2" t="s">
        <v>197</v>
      </c>
      <c r="C113" s="2" t="str">
        <f>"1460670"</f>
        <v>1460670</v>
      </c>
      <c r="D113" s="3">
        <v>45811</v>
      </c>
      <c r="E113" s="4">
        <v>7724.8</v>
      </c>
      <c r="F113" s="4">
        <v>0</v>
      </c>
      <c r="G113" s="4">
        <v>7724.8</v>
      </c>
      <c r="H113" s="5"/>
    </row>
    <row r="114" spans="1:8" x14ac:dyDescent="0.25">
      <c r="A114" s="2" t="s">
        <v>210</v>
      </c>
      <c r="B114" s="2" t="s">
        <v>211</v>
      </c>
      <c r="C114" s="2" t="str">
        <f>"1460550"</f>
        <v>1460550</v>
      </c>
      <c r="D114" s="3">
        <v>45811</v>
      </c>
      <c r="E114" s="4">
        <v>1039.9000000000001</v>
      </c>
      <c r="F114" s="4">
        <v>0</v>
      </c>
      <c r="G114" s="4">
        <v>1039.9000000000001</v>
      </c>
      <c r="H114" s="5"/>
    </row>
    <row r="115" spans="1:8" x14ac:dyDescent="0.25">
      <c r="A115" s="2" t="s">
        <v>212</v>
      </c>
      <c r="B115" s="2" t="s">
        <v>213</v>
      </c>
      <c r="C115" s="2" t="str">
        <f>"1460407"</f>
        <v>1460407</v>
      </c>
      <c r="D115" s="3">
        <v>45811</v>
      </c>
      <c r="E115" s="4">
        <v>4320</v>
      </c>
      <c r="F115" s="4">
        <v>0</v>
      </c>
      <c r="G115" s="4">
        <v>4320</v>
      </c>
      <c r="H115" s="5"/>
    </row>
    <row r="116" spans="1:8" x14ac:dyDescent="0.25">
      <c r="A116" s="2" t="s">
        <v>214</v>
      </c>
      <c r="B116" s="2" t="s">
        <v>215</v>
      </c>
      <c r="C116" s="2" t="str">
        <f>"1460839"</f>
        <v>1460839</v>
      </c>
      <c r="D116" s="3">
        <v>45811</v>
      </c>
      <c r="E116" s="4">
        <v>2173.6</v>
      </c>
      <c r="F116" s="4">
        <v>0</v>
      </c>
      <c r="G116" s="4">
        <v>2173.6</v>
      </c>
      <c r="H116" s="5"/>
    </row>
    <row r="117" spans="1:8" x14ac:dyDescent="0.25">
      <c r="A117" s="2" t="s">
        <v>216</v>
      </c>
      <c r="B117" s="2" t="s">
        <v>79</v>
      </c>
      <c r="C117" s="2" t="str">
        <f>"3291229000"</f>
        <v>3291229000</v>
      </c>
      <c r="D117" s="3">
        <v>45811</v>
      </c>
      <c r="E117" s="4">
        <v>-173.92</v>
      </c>
      <c r="F117" s="4">
        <v>0</v>
      </c>
      <c r="G117" s="4">
        <v>-173.92</v>
      </c>
      <c r="H117" s="5"/>
    </row>
    <row r="118" spans="1:8" x14ac:dyDescent="0.25">
      <c r="A118" s="2" t="s">
        <v>217</v>
      </c>
      <c r="B118" s="2" t="s">
        <v>79</v>
      </c>
      <c r="C118" s="2" t="str">
        <f>"3291229100"</f>
        <v>3291229100</v>
      </c>
      <c r="D118" s="3">
        <v>45811</v>
      </c>
      <c r="E118" s="4">
        <v>-564.34</v>
      </c>
      <c r="F118" s="4">
        <v>0</v>
      </c>
      <c r="G118" s="4">
        <v>-564.34</v>
      </c>
      <c r="H118" s="5"/>
    </row>
    <row r="119" spans="1:8" x14ac:dyDescent="0.25">
      <c r="A119" s="2" t="s">
        <v>218</v>
      </c>
      <c r="B119" s="2" t="s">
        <v>219</v>
      </c>
      <c r="C119" s="2" t="str">
        <f>"1460871"</f>
        <v>1460871</v>
      </c>
      <c r="D119" s="3">
        <v>45812</v>
      </c>
      <c r="E119" s="4">
        <v>1052.7</v>
      </c>
      <c r="F119" s="4">
        <v>0</v>
      </c>
      <c r="G119" s="4">
        <v>1052.7</v>
      </c>
      <c r="H119" s="5"/>
    </row>
    <row r="120" spans="1:8" x14ac:dyDescent="0.25">
      <c r="A120" s="2" t="s">
        <v>220</v>
      </c>
      <c r="B120" s="2" t="s">
        <v>221</v>
      </c>
      <c r="C120" s="2" t="str">
        <f>"1460872"</f>
        <v>1460872</v>
      </c>
      <c r="D120" s="3">
        <v>45812</v>
      </c>
      <c r="E120" s="4">
        <v>281.2</v>
      </c>
      <c r="F120" s="4">
        <v>0</v>
      </c>
      <c r="G120" s="4">
        <v>281.2</v>
      </c>
      <c r="H120" s="5"/>
    </row>
    <row r="121" spans="1:8" x14ac:dyDescent="0.25">
      <c r="A121" s="2" t="s">
        <v>222</v>
      </c>
      <c r="B121" s="2" t="s">
        <v>223</v>
      </c>
      <c r="C121" s="2" t="str">
        <f>"1460873"</f>
        <v>1460873</v>
      </c>
      <c r="D121" s="3">
        <v>45812</v>
      </c>
      <c r="E121" s="4">
        <v>2745</v>
      </c>
      <c r="F121" s="4">
        <v>0</v>
      </c>
      <c r="G121" s="4">
        <v>2745</v>
      </c>
      <c r="H121" s="5"/>
    </row>
    <row r="122" spans="1:8" x14ac:dyDescent="0.25">
      <c r="A122" s="2" t="s">
        <v>224</v>
      </c>
      <c r="B122" s="2" t="s">
        <v>225</v>
      </c>
      <c r="C122" s="2" t="str">
        <f>"1460874"</f>
        <v>1460874</v>
      </c>
      <c r="D122" s="3">
        <v>45812</v>
      </c>
      <c r="E122" s="4">
        <v>1362.36</v>
      </c>
      <c r="F122" s="4">
        <v>0</v>
      </c>
      <c r="G122" s="4">
        <v>1362.36</v>
      </c>
      <c r="H122" s="5"/>
    </row>
    <row r="123" spans="1:8" x14ac:dyDescent="0.25">
      <c r="A123" s="2" t="s">
        <v>226</v>
      </c>
      <c r="B123" s="2" t="s">
        <v>227</v>
      </c>
      <c r="C123" s="2" t="str">
        <f>"1460875"</f>
        <v>1460875</v>
      </c>
      <c r="D123" s="3">
        <v>45812</v>
      </c>
      <c r="E123" s="4">
        <v>1455.96</v>
      </c>
      <c r="F123" s="4">
        <v>0</v>
      </c>
      <c r="G123" s="4">
        <v>1455.96</v>
      </c>
      <c r="H123" s="5"/>
    </row>
    <row r="124" spans="1:8" x14ac:dyDescent="0.25">
      <c r="A124" s="2" t="s">
        <v>228</v>
      </c>
      <c r="B124" s="2" t="s">
        <v>229</v>
      </c>
      <c r="C124" s="2" t="str">
        <f>"1460876"</f>
        <v>1460876</v>
      </c>
      <c r="D124" s="3">
        <v>45812</v>
      </c>
      <c r="E124" s="4">
        <v>726.11</v>
      </c>
      <c r="F124" s="4">
        <v>0</v>
      </c>
      <c r="G124" s="4">
        <v>726.11</v>
      </c>
      <c r="H124" s="5"/>
    </row>
    <row r="125" spans="1:8" x14ac:dyDescent="0.25">
      <c r="A125" s="2" t="s">
        <v>230</v>
      </c>
      <c r="B125" s="2" t="s">
        <v>231</v>
      </c>
      <c r="C125" s="2" t="str">
        <f>"1460877"</f>
        <v>1460877</v>
      </c>
      <c r="D125" s="3">
        <v>45812</v>
      </c>
      <c r="E125" s="4">
        <v>425.75</v>
      </c>
      <c r="F125" s="4">
        <v>0</v>
      </c>
      <c r="G125" s="4">
        <v>425.75</v>
      </c>
      <c r="H125" s="5"/>
    </row>
    <row r="126" spans="1:8" x14ac:dyDescent="0.25">
      <c r="A126" s="2" t="s">
        <v>232</v>
      </c>
      <c r="B126" s="2" t="s">
        <v>233</v>
      </c>
      <c r="C126" s="2" t="str">
        <f>"1460879"</f>
        <v>1460879</v>
      </c>
      <c r="D126" s="3">
        <v>45812</v>
      </c>
      <c r="E126" s="4">
        <v>744.84</v>
      </c>
      <c r="F126" s="4">
        <v>0</v>
      </c>
      <c r="G126" s="4">
        <v>744.84</v>
      </c>
      <c r="H126" s="5"/>
    </row>
    <row r="127" spans="1:8" x14ac:dyDescent="0.25">
      <c r="A127" s="2" t="s">
        <v>234</v>
      </c>
      <c r="B127" s="2" t="s">
        <v>235</v>
      </c>
      <c r="C127" s="2" t="str">
        <f>"1460880"</f>
        <v>1460880</v>
      </c>
      <c r="D127" s="3">
        <v>45812</v>
      </c>
      <c r="E127" s="4">
        <v>297.39</v>
      </c>
      <c r="F127" s="4">
        <v>0</v>
      </c>
      <c r="G127" s="4">
        <v>297.39</v>
      </c>
      <c r="H127" s="5"/>
    </row>
    <row r="128" spans="1:8" x14ac:dyDescent="0.25">
      <c r="A128" s="2" t="s">
        <v>236</v>
      </c>
      <c r="B128" s="2" t="s">
        <v>237</v>
      </c>
      <c r="C128" s="2" t="str">
        <f>"1460881"</f>
        <v>1460881</v>
      </c>
      <c r="D128" s="3">
        <v>45812</v>
      </c>
      <c r="E128" s="4">
        <v>361.08</v>
      </c>
      <c r="F128" s="4">
        <v>0</v>
      </c>
      <c r="G128" s="4">
        <v>361.08</v>
      </c>
      <c r="H128" s="5"/>
    </row>
    <row r="129" spans="1:8" x14ac:dyDescent="0.25">
      <c r="A129" s="2" t="s">
        <v>238</v>
      </c>
      <c r="B129" s="2" t="s">
        <v>239</v>
      </c>
      <c r="C129" s="2" t="str">
        <f>"1460883"</f>
        <v>1460883</v>
      </c>
      <c r="D129" s="3">
        <v>45812</v>
      </c>
      <c r="E129" s="4">
        <v>305.76</v>
      </c>
      <c r="F129" s="4">
        <v>0</v>
      </c>
      <c r="G129" s="4">
        <v>305.76</v>
      </c>
      <c r="H129" s="5"/>
    </row>
    <row r="130" spans="1:8" x14ac:dyDescent="0.25">
      <c r="A130" s="2" t="s">
        <v>240</v>
      </c>
      <c r="B130" s="2" t="s">
        <v>241</v>
      </c>
      <c r="C130" s="2" t="str">
        <f>"1460884"</f>
        <v>1460884</v>
      </c>
      <c r="D130" s="3">
        <v>45812</v>
      </c>
      <c r="E130" s="4">
        <v>308.16000000000003</v>
      </c>
      <c r="F130" s="4">
        <v>0</v>
      </c>
      <c r="G130" s="4">
        <v>308.16000000000003</v>
      </c>
      <c r="H130" s="5"/>
    </row>
    <row r="131" spans="1:8" x14ac:dyDescent="0.25">
      <c r="A131" s="2" t="s">
        <v>242</v>
      </c>
      <c r="B131" s="2" t="s">
        <v>243</v>
      </c>
      <c r="C131" s="2" t="str">
        <f>"1460885"</f>
        <v>1460885</v>
      </c>
      <c r="D131" s="3">
        <v>45812</v>
      </c>
      <c r="E131" s="4">
        <v>385.59</v>
      </c>
      <c r="F131" s="4">
        <v>0</v>
      </c>
      <c r="G131" s="4">
        <v>385.59</v>
      </c>
      <c r="H131" s="5"/>
    </row>
    <row r="132" spans="1:8" x14ac:dyDescent="0.25">
      <c r="A132" s="2" t="s">
        <v>244</v>
      </c>
      <c r="B132" s="2" t="s">
        <v>245</v>
      </c>
      <c r="C132" s="2" t="str">
        <f>"1460886"</f>
        <v>1460886</v>
      </c>
      <c r="D132" s="3">
        <v>45812</v>
      </c>
      <c r="E132" s="4">
        <v>419.6</v>
      </c>
      <c r="F132" s="4">
        <v>0</v>
      </c>
      <c r="G132" s="4">
        <v>419.6</v>
      </c>
      <c r="H132" s="5"/>
    </row>
    <row r="133" spans="1:8" x14ac:dyDescent="0.25">
      <c r="A133" s="2" t="s">
        <v>246</v>
      </c>
      <c r="B133" s="2" t="s">
        <v>247</v>
      </c>
      <c r="C133" s="2" t="str">
        <f>"1460887"</f>
        <v>1460887</v>
      </c>
      <c r="D133" s="3">
        <v>45812</v>
      </c>
      <c r="E133" s="4">
        <v>677.08</v>
      </c>
      <c r="F133" s="4">
        <v>0</v>
      </c>
      <c r="G133" s="4">
        <v>677.08</v>
      </c>
      <c r="H133" s="5"/>
    </row>
    <row r="134" spans="1:8" x14ac:dyDescent="0.25">
      <c r="A134" s="2" t="s">
        <v>248</v>
      </c>
      <c r="B134" s="2" t="s">
        <v>79</v>
      </c>
      <c r="C134" s="2" t="str">
        <f>"3291669600"</f>
        <v>3291669600</v>
      </c>
      <c r="D134" s="3">
        <v>45812</v>
      </c>
      <c r="E134" s="4">
        <v>-94.39</v>
      </c>
      <c r="F134" s="4">
        <v>0</v>
      </c>
      <c r="G134" s="4">
        <v>-94.39</v>
      </c>
      <c r="H134" s="5"/>
    </row>
    <row r="135" spans="1:8" x14ac:dyDescent="0.25">
      <c r="A135" s="2" t="s">
        <v>249</v>
      </c>
      <c r="B135" s="2" t="s">
        <v>79</v>
      </c>
      <c r="C135" s="2" t="str">
        <f>"3291669900"</f>
        <v>3291669900</v>
      </c>
      <c r="D135" s="3">
        <v>45812</v>
      </c>
      <c r="E135" s="4">
        <v>-118.2</v>
      </c>
      <c r="F135" s="4">
        <v>0</v>
      </c>
      <c r="G135" s="4">
        <v>-118.2</v>
      </c>
      <c r="H135" s="5"/>
    </row>
    <row r="136" spans="1:8" x14ac:dyDescent="0.25">
      <c r="A136" s="2" t="s">
        <v>250</v>
      </c>
      <c r="B136" s="2" t="s">
        <v>79</v>
      </c>
      <c r="C136" s="2" t="str">
        <f>"3291670100"</f>
        <v>3291670100</v>
      </c>
      <c r="D136" s="3">
        <v>45812</v>
      </c>
      <c r="E136" s="4">
        <v>-414.95</v>
      </c>
      <c r="F136" s="4">
        <v>0</v>
      </c>
      <c r="G136" s="4">
        <v>-414.95</v>
      </c>
      <c r="H136" s="5"/>
    </row>
    <row r="137" spans="1:8" x14ac:dyDescent="0.25">
      <c r="A137" s="2" t="s">
        <v>251</v>
      </c>
      <c r="B137" s="2" t="s">
        <v>79</v>
      </c>
      <c r="C137" s="2" t="str">
        <f>"3291670000"</f>
        <v>3291670000</v>
      </c>
      <c r="D137" s="3">
        <v>45812</v>
      </c>
      <c r="E137" s="4">
        <v>-293.94</v>
      </c>
      <c r="F137" s="4">
        <v>0</v>
      </c>
      <c r="G137" s="4">
        <v>-293.94</v>
      </c>
      <c r="H137" s="5"/>
    </row>
    <row r="138" spans="1:8" x14ac:dyDescent="0.25">
      <c r="A138" s="2" t="s">
        <v>252</v>
      </c>
      <c r="B138" s="2" t="s">
        <v>79</v>
      </c>
      <c r="C138" s="2" t="str">
        <f>"3291670200"</f>
        <v>3291670200</v>
      </c>
      <c r="D138" s="3">
        <v>45812</v>
      </c>
      <c r="E138" s="4">
        <v>-877.03</v>
      </c>
      <c r="F138" s="4">
        <v>0</v>
      </c>
      <c r="G138" s="4">
        <v>-877.03</v>
      </c>
      <c r="H138" s="5"/>
    </row>
    <row r="139" spans="1:8" x14ac:dyDescent="0.25">
      <c r="A139" s="2" t="s">
        <v>253</v>
      </c>
      <c r="B139" s="2" t="s">
        <v>79</v>
      </c>
      <c r="C139" s="2" t="str">
        <f>"3291669700"</f>
        <v>3291669700</v>
      </c>
      <c r="D139" s="3">
        <v>45812</v>
      </c>
      <c r="E139" s="4">
        <v>-108.48</v>
      </c>
      <c r="F139" s="4">
        <v>0</v>
      </c>
      <c r="G139" s="4">
        <v>-108.48</v>
      </c>
      <c r="H139" s="5"/>
    </row>
    <row r="140" spans="1:8" x14ac:dyDescent="0.25">
      <c r="A140" s="2" t="s">
        <v>254</v>
      </c>
      <c r="B140" s="2" t="s">
        <v>79</v>
      </c>
      <c r="C140" s="2" t="str">
        <f>"3291669800"</f>
        <v>3291669800</v>
      </c>
      <c r="D140" s="3">
        <v>45812</v>
      </c>
      <c r="E140" s="4">
        <v>-38.869999999999997</v>
      </c>
      <c r="F140" s="4">
        <v>0</v>
      </c>
      <c r="G140" s="4">
        <v>-38.869999999999997</v>
      </c>
      <c r="H140" s="5"/>
    </row>
    <row r="141" spans="1:8" x14ac:dyDescent="0.25">
      <c r="A141" s="2" t="s">
        <v>255</v>
      </c>
      <c r="B141" s="2" t="s">
        <v>256</v>
      </c>
      <c r="C141" s="2" t="s">
        <v>269</v>
      </c>
      <c r="D141" s="3">
        <v>45828</v>
      </c>
      <c r="E141" s="4">
        <v>1799.59</v>
      </c>
      <c r="F141" s="4">
        <v>0</v>
      </c>
      <c r="G141" s="4">
        <v>1799.59</v>
      </c>
      <c r="H141" s="5"/>
    </row>
    <row r="142" spans="1:8" x14ac:dyDescent="0.25">
      <c r="A142" s="2" t="s">
        <v>257</v>
      </c>
      <c r="B142" s="2" t="s">
        <v>258</v>
      </c>
      <c r="C142" s="7" t="str">
        <f>"005431057"</f>
        <v>005431057</v>
      </c>
      <c r="D142" s="3">
        <v>45834</v>
      </c>
      <c r="E142" s="4">
        <v>-1677.85</v>
      </c>
      <c r="F142" s="4">
        <v>0</v>
      </c>
      <c r="G142" s="4">
        <v>-1677.85</v>
      </c>
      <c r="H142" s="5"/>
    </row>
    <row r="143" spans="1:8" x14ac:dyDescent="0.25">
      <c r="A143" s="2" t="s">
        <v>259</v>
      </c>
      <c r="B143" s="2" t="s">
        <v>260</v>
      </c>
      <c r="C143" s="7" t="str">
        <f>"019773823"</f>
        <v>019773823</v>
      </c>
      <c r="D143" s="3">
        <v>45834</v>
      </c>
      <c r="E143" s="4">
        <v>-386.43</v>
      </c>
      <c r="F143" s="4">
        <v>0</v>
      </c>
      <c r="G143" s="4">
        <v>-386.43</v>
      </c>
      <c r="H14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ServiceAcct</dc:creator>
  <cp:lastModifiedBy>Automation ServiceAcct</cp:lastModifiedBy>
  <dcterms:created xsi:type="dcterms:W3CDTF">2025-11-14T18:22:37Z</dcterms:created>
  <dcterms:modified xsi:type="dcterms:W3CDTF">2025-11-14T18:22:45Z</dcterms:modified>
</cp:coreProperties>
</file>